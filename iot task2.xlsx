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5"/>
  <workbookPr/>
  <bookViews>
    <workbookView xWindow="0" yWindow="0" windowWidth="20490" windowHeight="7905"/>
  </bookViews>
  <sheets>
    <sheet name="Sheet1" sheetId="1" r:id="rId1"/>
  </sheets>
  <calcPr calcId="152511"/>
  <extLst xmlns:x15="http://schemas.microsoft.com/office/spreadsheetml/2010/11/main">
    <ext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10" i="1"/>
  <c r="D11"/>
  <c r="F2"/>
  <c r="G2"/>
  <c r="F3"/>
  <c r="G3"/>
  <c r="F4"/>
  <c r="G4"/>
  <c r="F5"/>
  <c r="G5"/>
  <c r="F6"/>
  <c r="G6"/>
  <c r="F7"/>
  <c r="G7"/>
  <c r="E8" l="1"/>
  <c r="D8"/>
  <c r="F8" l="1"/>
</calcChain>
</file>

<file path=xl/sharedStrings.xml><?xml version="1.0" encoding="utf-8"?>
<sst xmlns="http://schemas.openxmlformats.org/spreadsheetml/2006/main" count="25" uniqueCount="19">
  <si>
    <t>Course</t>
  </si>
  <si>
    <t>Name</t>
  </si>
  <si>
    <t>Subject</t>
  </si>
  <si>
    <t>Marks</t>
  </si>
  <si>
    <t>Dev</t>
  </si>
  <si>
    <t>Rohit</t>
  </si>
  <si>
    <t>Prem</t>
  </si>
  <si>
    <t>Harshit</t>
  </si>
  <si>
    <t>Harshiii</t>
  </si>
  <si>
    <t>Vinayak</t>
  </si>
  <si>
    <t>MCA</t>
  </si>
  <si>
    <t>DA</t>
  </si>
  <si>
    <t>BI</t>
  </si>
  <si>
    <t>PYTHON</t>
  </si>
  <si>
    <t>JAVA</t>
  </si>
  <si>
    <t>C</t>
  </si>
  <si>
    <t>Total Marks</t>
  </si>
  <si>
    <t>Percentage</t>
  </si>
  <si>
    <t>Grade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</si>
</sst>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</cellXfs>
  <cellStyles count="1">
    <cellStyle name="Normal" xfId="0" builtinId="0"/>
  </cellStyles>
  <dxfs count="1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scheme val="minor"/>
      </font>
      <fill>
        <patternFill patternType="solid">
          <fgColor indexed="64"/>
          <bgColor rgb="FFFFFF00"/>
        </patternFill>
      </fill>
      <alignment horizontal="center" vertical="bottom" textRotation="0" wrapText="0" indent="0" relativeIndent="255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bottom" textRotation="0" wrapText="0" indent="0" relativeIndent="255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relativeIndent="255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relativeIndent="255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relativeIndent="255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relativeIndent="255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relativeIndent="255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scheme val="minor"/>
      </font>
      <fill>
        <patternFill patternType="solid">
          <fgColor indexed="64"/>
          <bgColor rgb="FFFFFF00"/>
        </patternFill>
      </fill>
      <alignment horizontal="center" vertical="bottom" textRotation="0" wrapText="0" indent="0" relativeIndent="255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E7" totalsRowShown="0" headerRowDxfId="10" dataDxfId="8" headerRowBorderDxfId="9" tableBorderDxfId="7" totalsRowBorderDxfId="6">
  <autoFilter ref="A1:E7"/>
  <sortState ref="A2:E7">
    <sortCondition ref="A1:A7"/>
  </sortState>
  <tableColumns count="5">
    <tableColumn id="1" name="Name" dataDxfId="5"/>
    <tableColumn id="2" name="Course" dataDxfId="4"/>
    <tableColumn id="3" name="Subject" dataDxfId="3"/>
    <tableColumn id="4" name="Marks" dataDxfId="2"/>
    <tableColumn id="5" name="Total Marks" dataDxfId="1"/>
  </tableColumns>
  <tableStyleInfo name="TableStyleLight21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F1:G7" totalsRowShown="0" headerRowDxfId="0">
  <autoFilter ref="F1:G7"/>
  <tableColumns count="2">
    <tableColumn id="1" name="Percentage">
      <calculatedColumnFormula>D2/E2*100</calculatedColumnFormula>
    </tableColumn>
    <tableColumn id="2" name="Grade">
      <calculatedColumnFormula>IF(D2&gt;50,"A","B")</calculatedColumnFormula>
    </tableColumn>
  </tableColumns>
  <tableStyleInfo name="TableStyleLight2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zoomScale="178" zoomScaleNormal="178" workbookViewId="0">
      <selection activeCell="F10" sqref="F10"/>
    </sheetView>
  </sheetViews>
  <sheetFormatPr defaultRowHeight="15"/>
  <cols>
    <col min="5" max="5" width="12" customWidth="1"/>
    <col min="6" max="6" width="11.42578125" customWidth="1"/>
  </cols>
  <sheetData>
    <row r="1" spans="1:7">
      <c r="A1" s="7" t="s">
        <v>1</v>
      </c>
      <c r="B1" s="8" t="s">
        <v>0</v>
      </c>
      <c r="C1" s="8" t="s">
        <v>2</v>
      </c>
      <c r="D1" s="8" t="s">
        <v>3</v>
      </c>
      <c r="E1" s="9" t="s">
        <v>16</v>
      </c>
      <c r="F1" s="10" t="s">
        <v>17</v>
      </c>
      <c r="G1" s="10" t="s">
        <v>18</v>
      </c>
    </row>
    <row r="2" spans="1:7">
      <c r="A2" s="2" t="s">
        <v>4</v>
      </c>
      <c r="B2" s="1" t="s">
        <v>10</v>
      </c>
      <c r="C2" s="1" t="s">
        <v>11</v>
      </c>
      <c r="D2" s="1">
        <v>87</v>
      </c>
      <c r="E2" s="3">
        <v>100</v>
      </c>
      <c r="F2">
        <f>D2/E2*100</f>
        <v>87</v>
      </c>
      <c r="G2" t="str">
        <f>IF(D2&gt;50,"A","B")</f>
        <v>A</v>
      </c>
    </row>
    <row r="3" spans="1:7">
      <c r="A3" s="2" t="s">
        <v>8</v>
      </c>
      <c r="B3" s="1" t="s">
        <v>10</v>
      </c>
      <c r="C3" s="1" t="s">
        <v>15</v>
      </c>
      <c r="D3" s="1">
        <v>87</v>
      </c>
      <c r="E3" s="3">
        <v>100</v>
      </c>
      <c r="F3">
        <f t="shared" ref="F3:F6" si="0">D3/E3*100</f>
        <v>87</v>
      </c>
      <c r="G3" t="str">
        <f t="shared" ref="G3:G7" si="1">IF(D3&gt;50,"A","B")</f>
        <v>A</v>
      </c>
    </row>
    <row r="4" spans="1:7">
      <c r="A4" s="2" t="s">
        <v>7</v>
      </c>
      <c r="B4" s="1" t="s">
        <v>10</v>
      </c>
      <c r="C4" s="1" t="s">
        <v>14</v>
      </c>
      <c r="D4" s="1">
        <v>34</v>
      </c>
      <c r="E4" s="3">
        <v>100</v>
      </c>
      <c r="F4">
        <f t="shared" si="0"/>
        <v>34</v>
      </c>
      <c r="G4" t="str">
        <f t="shared" si="1"/>
        <v>B</v>
      </c>
    </row>
    <row r="5" spans="1:7">
      <c r="A5" s="2" t="s">
        <v>6</v>
      </c>
      <c r="B5" s="1" t="s">
        <v>10</v>
      </c>
      <c r="C5" s="1" t="s">
        <v>13</v>
      </c>
      <c r="D5" s="1">
        <v>25</v>
      </c>
      <c r="E5" s="3">
        <v>100</v>
      </c>
      <c r="F5">
        <f t="shared" si="0"/>
        <v>25</v>
      </c>
      <c r="G5" t="str">
        <f t="shared" si="1"/>
        <v>B</v>
      </c>
    </row>
    <row r="6" spans="1:7">
      <c r="A6" s="2" t="s">
        <v>5</v>
      </c>
      <c r="B6" s="1" t="s">
        <v>10</v>
      </c>
      <c r="C6" s="1" t="s">
        <v>12</v>
      </c>
      <c r="D6" s="1">
        <v>64</v>
      </c>
      <c r="E6" s="3">
        <v>100</v>
      </c>
      <c r="F6">
        <f t="shared" si="0"/>
        <v>64</v>
      </c>
      <c r="G6" t="str">
        <f t="shared" si="1"/>
        <v>A</v>
      </c>
    </row>
    <row r="7" spans="1:7">
      <c r="A7" s="4" t="s">
        <v>9</v>
      </c>
      <c r="B7" s="5" t="s">
        <v>10</v>
      </c>
      <c r="C7" s="5" t="s">
        <v>14</v>
      </c>
      <c r="D7" s="5">
        <v>68</v>
      </c>
      <c r="E7" s="6">
        <v>100</v>
      </c>
      <c r="F7">
        <f>D7/E7*100</f>
        <v>68</v>
      </c>
      <c r="G7" t="str">
        <f t="shared" si="1"/>
        <v>A</v>
      </c>
    </row>
    <row r="8" spans="1:7">
      <c r="D8">
        <f>SUM(D2:D7)</f>
        <v>365</v>
      </c>
      <c r="E8">
        <f>SUM(E2:E7)</f>
        <v>600</v>
      </c>
      <c r="F8">
        <f>AVERAGE(F2:F7)</f>
        <v>60.833333333333336</v>
      </c>
    </row>
    <row r="10" spans="1:7">
      <c r="D10">
        <f>COUNTA(A2:A7)</f>
        <v>6</v>
      </c>
    </row>
    <row r="11" spans="1:7">
      <c r="D11">
        <f>COUNT(D2:D7)</f>
        <v>6</v>
      </c>
    </row>
  </sheetData>
  <pageMargins left="0.7" right="0.7" top="0.75" bottom="0.75" header="0.3" footer="0.3"/>
  <pageSetup paperSize="9" orientation="portrait" horizontalDpi="0" verticalDpi="0" r:id="rId1"/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JAISHDIWAKAR</dc:creator>
  <cp:lastModifiedBy>Santosh</cp:lastModifiedBy>
  <dcterms:created xsi:type="dcterms:W3CDTF">2026-08-21T04:02:10Z</dcterms:created>
  <dcterms:modified xsi:type="dcterms:W3CDTF">2026-10-27T15:12:55Z</dcterms:modified>
</cp:coreProperties>
</file>