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360" yWindow="150" windowWidth="16215" windowHeight="7935" activeTab="1"/>
  </bookViews>
  <sheets>
    <sheet name="S1" sheetId="2" r:id="rId1"/>
    <sheet name="S2" sheetId="5" r:id="rId2"/>
    <sheet name="S3" sheetId="3" r:id="rId3"/>
    <sheet name="Sheet1" sheetId="1" r:id="rId4"/>
    <sheet name="Sheet4" sheetId="4" r:id="rId5"/>
  </sheets>
  <externalReferences>
    <externalReference r:id="rId6"/>
    <externalReference r:id="rId7"/>
  </externalReferences>
  <calcPr calcId="124519"/>
  <pivotCaches>
    <pivotCache cacheId="4" r:id="rId8"/>
  </pivotCaches>
</workbook>
</file>

<file path=xl/sharedStrings.xml><?xml version="1.0" encoding="utf-8"?>
<sst xmlns="http://schemas.openxmlformats.org/spreadsheetml/2006/main" count="255" uniqueCount="141">
  <si>
    <t>show_id</t>
  </si>
  <si>
    <t>type</t>
  </si>
  <si>
    <t>title</t>
  </si>
  <si>
    <t>director</t>
  </si>
  <si>
    <t>cast</t>
  </si>
  <si>
    <t>s1</t>
  </si>
  <si>
    <t>Movie</t>
  </si>
  <si>
    <t>Dick Johnson Is Dead</t>
  </si>
  <si>
    <t>Kirsten Johnson</t>
  </si>
  <si>
    <t>null</t>
  </si>
  <si>
    <t>s7</t>
  </si>
  <si>
    <t>My Little Pony: A New Generation</t>
  </si>
  <si>
    <t>Robert Cullen, José Luis Ucha</t>
  </si>
  <si>
    <t>Vanessa Hudgens, Kimiko Glenn, James Marsden, Sofia Carson, Liza Koshy, Ken Jeong, Elizabeth Perkins, Jane Krakowski, Michael McKean, Phil LaMarr</t>
  </si>
  <si>
    <t>s8</t>
  </si>
  <si>
    <t>Sankofa</t>
  </si>
  <si>
    <t>Haile Gerima</t>
  </si>
  <si>
    <t>Kofi Ghanaba, Oyafunmike Ogunlano, Alexandra Duah, Nick Medley, Mutabaruka, Afemo Omilami, Reggie Carter, Mzuri</t>
  </si>
  <si>
    <t>s10</t>
  </si>
  <si>
    <t>The Starling</t>
  </si>
  <si>
    <t>Theodore Melfi</t>
  </si>
  <si>
    <t>Melissa McCarthy, Chris O'Dowd, Kevin Kline, Timothy Olyphant, Daveed Diggs, Skyler Gisondo, Laura Harrier, Rosalind Chao, Kimberly Quinn, Loretta Devine, Ravi Kapoor</t>
  </si>
  <si>
    <t>s13</t>
  </si>
  <si>
    <t>Je Suis Karl</t>
  </si>
  <si>
    <t>Christian Schwochow</t>
  </si>
  <si>
    <t>Luna Wedler, Jannis Niewöhner, Milan Peschel, Edin Hasanović, Anna Fialová, Marlon Boess, Victor Boccard, Fleur Geffrier, Aziz Dyab, Mélanie Fouché, Elizaveta Maximová</t>
  </si>
  <si>
    <t>s14</t>
  </si>
  <si>
    <t>Confessions of an Invisible Girl</t>
  </si>
  <si>
    <t>Bruno Garotti</t>
  </si>
  <si>
    <t>Klara Castanho, Lucca Picon, Júlia Gomes, Marcus Bessa, Kiria Malheiros, Fernanda Concon, Gabriel Lima, Caio Cabral, Leonardo Cidade, Jade Cardozo</t>
  </si>
  <si>
    <t>s17</t>
  </si>
  <si>
    <t>Europe's Most Dangerous Man: Otto Skorzeny in Spain</t>
  </si>
  <si>
    <t>Pedro de Echave García, Pablo Azorín Williams</t>
  </si>
  <si>
    <t>s19</t>
  </si>
  <si>
    <t>Intrusion</t>
  </si>
  <si>
    <t>Adam Salky</t>
  </si>
  <si>
    <t>Freida Pinto, Logan Marshall-Green, Robert John Burke, Megan Elisabeth Kelly, Sarah Minnich, Hayes Hargrove, Mark Sivertsen, Brandon Fierro, Antonio Valles, Clint Obenchain</t>
  </si>
  <si>
    <t>s23</t>
  </si>
  <si>
    <t>Avvai Shanmughi</t>
  </si>
  <si>
    <t>K.S. Ravikumar</t>
  </si>
  <si>
    <t>Kamal Hassan, Meena, Gemini Ganesan, Heera Rajgopal, Nassar, S.P. Balasubrahmanyam</t>
  </si>
  <si>
    <t>s24</t>
  </si>
  <si>
    <t>Go! Go! Cory Carson: Chrissy Takes the Wheel</t>
  </si>
  <si>
    <t>Alex Woo, Stanley Moore</t>
  </si>
  <si>
    <t>Maisie Benson, Paul Killam, Kerry Gudjohnsen, AC Lim</t>
  </si>
  <si>
    <t>s25</t>
  </si>
  <si>
    <t>Jeans</t>
  </si>
  <si>
    <t>S. Shankar</t>
  </si>
  <si>
    <t>Prashanth, Aishwarya Rai Bachchan, Sri Lakshmi, Nassar</t>
  </si>
  <si>
    <t>s27</t>
  </si>
  <si>
    <t>Minsara Kanavu</t>
  </si>
  <si>
    <t>Rajiv Menon</t>
  </si>
  <si>
    <t>Arvind Swamy, Kajol, Prabhu Deva, Nassar, S.P. Balasubrahmanyam, Girish Karnad</t>
  </si>
  <si>
    <t>s28</t>
  </si>
  <si>
    <t>Grown Ups</t>
  </si>
  <si>
    <t>Dennis Dugan</t>
  </si>
  <si>
    <t>Adam Sandler, Kevin James, Chris Rock, David Spade, Rob Schneider, Salma Hayek, Maria Bello, Maya Rudolph, Colin Quinn, Tim Meadows, Joyce Van Patten</t>
  </si>
  <si>
    <t>s29</t>
  </si>
  <si>
    <t>Dark Skies</t>
  </si>
  <si>
    <t>Scott Stewart</t>
  </si>
  <si>
    <t>Keri Russell, Josh Hamilton, J.K. Simmons, Dakota Goyo, Kadan Rockett, L.J. Benet, Rich Hutchman, Myndy Crist, Annie Thurman, Jake Brennan</t>
  </si>
  <si>
    <t>s30</t>
  </si>
  <si>
    <t>Paranoia</t>
  </si>
  <si>
    <t>Robert Luketic</t>
  </si>
  <si>
    <t>Liam Hemsworth, Gary Oldman, Amber Heard, Harrison Ford, Lucas Till, Embeth Davidtz, Julian McMahon, Josh Holloway, Richard Dreyfuss, Angela Sarafyan</t>
  </si>
  <si>
    <t>s31</t>
  </si>
  <si>
    <t>Ankahi Kahaniya</t>
  </si>
  <si>
    <t>Ashwiny Iyer Tiwari, Abhishek Chaubey, Saket Chaudhary</t>
  </si>
  <si>
    <t>Abhishek Banerjee, Rinku Rajguru, Delzad Hiwale, Kunal Kapoor, Zoya Hussain, Nikhil Dwivedi, Palomi Ghosh</t>
  </si>
  <si>
    <t>s36</t>
  </si>
  <si>
    <t>The Father Who Moves Mountains</t>
  </si>
  <si>
    <t>Daniel Sandu</t>
  </si>
  <si>
    <t>Adrian Titieni, Elena Purea, Judith State, Valeriu Andriuță, Tudor Smoleanu, Virgil Aioanei, Radu Botar, Petronela Grigorescu, Bogdan Nechifor, Cristian Bota</t>
  </si>
  <si>
    <t>s37</t>
  </si>
  <si>
    <t>The Stronghold</t>
  </si>
  <si>
    <t>Cédric Jimenez</t>
  </si>
  <si>
    <t>Gilles Lellouche, Karim Leklou, François Civil, Adèle Exarchopoulos, Kenza Fortas, Cyril Lecomte, Michaël Abiteboul, Idir Azougli, Vincent Darmuzey, Jean-Yves Berteloot</t>
  </si>
  <si>
    <t>s39</t>
  </si>
  <si>
    <t>Birth of the Dragon</t>
  </si>
  <si>
    <t>George Nolfi</t>
  </si>
  <si>
    <t>Billy Magnussen, Ron Yuan, Qu Jingjing, Terry Chen, Vanness Wu, Jin Xing, Philip Ng, Xia Yu, Yu Xia</t>
  </si>
  <si>
    <t>s42</t>
  </si>
  <si>
    <t>Jaws</t>
  </si>
  <si>
    <t>Steven Spielberg</t>
  </si>
  <si>
    <t>Roy Scheider, Robert Shaw, Richard Dreyfuss, Lorraine Gary, Murray Hamilton, Carl Gottlieb, Jeffrey Kramer, Susan Backlinie, Jonathan Filley, Ted Grossman</t>
  </si>
  <si>
    <t>s43</t>
  </si>
  <si>
    <t>Jaws 2</t>
  </si>
  <si>
    <t>Jeannot Szwarc</t>
  </si>
  <si>
    <t>Roy Scheider, Lorraine Gary, Murray Hamilton, Joseph Mascolo, Jeffrey Kramer, Collin Wilcox Paxton, Ann Dusenberry, Mark Gruner, Barry Coe, Susan French</t>
  </si>
  <si>
    <t>s44</t>
  </si>
  <si>
    <t>Jaws 3</t>
  </si>
  <si>
    <t>Joe Alves</t>
  </si>
  <si>
    <t>Dennis Quaid, Bess Armstrong, Simon MacCorkindale, Louis Gossett Jr., John Putch, Lea Thompson, P.H. Moriarty, Dan Blasko, Liz Morris, Lisa Maurer</t>
  </si>
  <si>
    <t>Jaws: The Revenge</t>
  </si>
  <si>
    <t>Joseph Sargent</t>
  </si>
  <si>
    <t>Lorraine Gary, Lance Guest, Mario Van Peebles, Karen Young, Michael Caine, Judith Barsi, Mitchell Anderson, Lynn Whitfield</t>
  </si>
  <si>
    <t>My Heroes Were Cowboys</t>
  </si>
  <si>
    <t>Tyler Greco</t>
  </si>
  <si>
    <t>Safe House</t>
  </si>
  <si>
    <t>Daniel Espinosa</t>
  </si>
  <si>
    <t>Denzel Washington, Ryan Reynolds, Vera Farmiga, Brendan Gleeson, Sam Shepard, Rubén Blades, Nora Arnezeder, Robert Patrick, Liam Cunningham, Joel Kinnaman</t>
  </si>
  <si>
    <t>Training Day</t>
  </si>
  <si>
    <t>Antoine Fuqua</t>
  </si>
  <si>
    <t>Denzel Washington, Ethan Hawke, Scott Glenn, Tom Berenger, Harris Yulin, Raymond J. Barry, Cliff Curtis, Dr. Dre, Snoop Dogg, Macy Gray, Eva Mendes</t>
  </si>
  <si>
    <t>InuYasha the Movie 2: The Castle Beyond the Looking Glass</t>
  </si>
  <si>
    <t>Toshiya Shinohara</t>
  </si>
  <si>
    <t>Kappei Yamaguchi, Satsuki Yukino, Mieko Harada, Koji Tsujitani, Houko Kuwashima, Kumiko Watanabe, Noriko Hidaka, Kenichi Ogata, Toshiyuki Morikawa, Izumi Ogami</t>
  </si>
  <si>
    <t>InuYasha the Movie 3: Swords of an Honorable Ruler</t>
  </si>
  <si>
    <t>Kappei Yamaguchi, Satsuki Yukino, Koji Tsujitani, Houko Kuwashima, Kumiko Watanabe, Ken Narita, Akio Otsuka, Kikuko Inoue</t>
  </si>
  <si>
    <t>InuYasha the Movie 4: Fire on the Mystic Island</t>
  </si>
  <si>
    <t>Kappei Yamaguchi, Satsuki Yukino, Koji Tsujitani, Houko Kuwashima, Kumiko Watanabe, Noriko Hidaka, Ken Narita, Cho, Mamiko Noto, Nobutoshi Canna</t>
  </si>
  <si>
    <t>s32</t>
  </si>
  <si>
    <t>s33</t>
  </si>
  <si>
    <t>s34</t>
  </si>
  <si>
    <t>s35</t>
  </si>
  <si>
    <t>s38</t>
  </si>
  <si>
    <t>s40</t>
  </si>
  <si>
    <t>s41</t>
  </si>
  <si>
    <t>Row Labels</t>
  </si>
  <si>
    <t>Grand Total</t>
  </si>
  <si>
    <t>Column Labels</t>
  </si>
  <si>
    <t>(All)</t>
  </si>
  <si>
    <t>Count of cast</t>
  </si>
  <si>
    <t>TOTAL MOVIES
29</t>
  </si>
  <si>
    <t>UNIQUE DIRECTORS
27</t>
  </si>
  <si>
    <t>TOP DIRECTOR
Toshiya Shinohara</t>
  </si>
  <si>
    <t>TOP COUNT
3</t>
  </si>
  <si>
    <t>KEY INSIGHTS</t>
  </si>
  <si>
    <t>Total movies</t>
  </si>
  <si>
    <t>Directors represented</t>
  </si>
  <si>
    <t>Directors with 1 movie</t>
  </si>
  <si>
    <t>Director with 3 movies</t>
  </si>
  <si>
    <t>KEY TAKEAWAY</t>
  </si>
  <si>
    <t>The dataset contains 29 movies across 27 unique directors. 26 directors appear exactly once, while Toshiya Shinohara is the only director with multiple titles, appearing 3 times. This means the director portfolio is highly dispersed, with limited repeat representation.</t>
  </si>
  <si>
    <t>Director</t>
  </si>
  <si>
    <t>Movie Count</t>
  </si>
  <si>
    <t>Share of Movies</t>
  </si>
  <si>
    <t>Director Type</t>
  </si>
  <si>
    <t>Multiple movies</t>
  </si>
  <si>
    <t>Single movie</t>
  </si>
  <si>
    <t>SH</t>
  </si>
</sst>
</file>

<file path=xl/styles.xml><?xml version="1.0" encoding="utf-8"?>
<styleSheet xmlns="http://schemas.openxmlformats.org/spreadsheetml/2006/main">
  <numFmts count="1">
    <numFmt numFmtId="164" formatCode="0.0%"/>
  </numFmts>
  <fonts count="8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4"/>
      <color rgb="FFFFFFFF"/>
      <name val="Calibri"/>
    </font>
    <font>
      <b/>
      <sz val="11"/>
      <color rgb="FF1F2937"/>
      <name val="Calibri"/>
    </font>
    <font>
      <b/>
      <sz val="11"/>
      <color rgb="FF2F75B5"/>
      <name val="Calibri"/>
    </font>
    <font>
      <b/>
      <sz val="13"/>
      <color rgb="FFFFFFFF"/>
      <name val="Calibri"/>
    </font>
    <font>
      <sz val="11"/>
      <color rgb="FF263238"/>
      <name val="Calibri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17365D"/>
      </patternFill>
    </fill>
    <fill>
      <patternFill patternType="solid">
        <fgColor rgb="FFF3F6F9"/>
      </patternFill>
    </fill>
    <fill>
      <patternFill patternType="solid">
        <fgColor rgb="FFD9EAF7"/>
      </patternFill>
    </fill>
    <fill>
      <patternFill patternType="solid">
        <fgColor rgb="FF172B4D"/>
      </patternFill>
    </fill>
    <fill>
      <patternFill patternType="solid">
        <fgColor rgb="FFF5F7FA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0" xfId="0" applyFont="1" applyFill="1"/>
    <xf numFmtId="0" fontId="0" fillId="0" borderId="0" xfId="0"/>
    <xf numFmtId="0" fontId="3" fillId="4" borderId="1" xfId="0" applyFont="1" applyFill="1" applyBorder="1"/>
    <xf numFmtId="0" fontId="4" fillId="5" borderId="1" xfId="0" applyFont="1" applyFill="1" applyBorder="1"/>
    <xf numFmtId="0" fontId="5" fillId="6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 wrapText="1"/>
    </xf>
    <xf numFmtId="0" fontId="7" fillId="6" borderId="0" xfId="0" applyFont="1" applyFill="1" applyAlignment="1">
      <alignment horizontal="center"/>
    </xf>
    <xf numFmtId="164" fontId="0" fillId="0" borderId="0" xfId="0" applyNumberFormat="1"/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[nn11.xlsx]S2!PivotTable1</c:name>
    <c:fmtId val="1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</c:pivotFmts>
    <c:plotArea>
      <c:layout/>
      <c:lineChart>
        <c:grouping val="stacked"/>
        <c:ser>
          <c:idx val="0"/>
          <c:order val="0"/>
          <c:tx>
            <c:strRef>
              <c:f>'S2'!$B$4:$B$5</c:f>
              <c:strCache>
                <c:ptCount val="1"/>
                <c:pt idx="0">
                  <c:v>Adam Salky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'S2'!$B$6:$B$7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'S2'!$C$4:$C$5</c:f>
              <c:strCache>
                <c:ptCount val="1"/>
                <c:pt idx="0">
                  <c:v>Alex Woo, Stanley Moore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'S2'!$C$6:$C$7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'S2'!$D$4:$D$5</c:f>
              <c:strCache>
                <c:ptCount val="1"/>
                <c:pt idx="0">
                  <c:v>Antoine Fuqua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'S2'!$D$6:$D$7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3"/>
          <c:order val="3"/>
          <c:tx>
            <c:strRef>
              <c:f>'S2'!$E$4:$E$5</c:f>
              <c:strCache>
                <c:ptCount val="1"/>
                <c:pt idx="0">
                  <c:v>Ashwiny Iyer Tiwari, Abhishek Chaubey, Saket Chaudhary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'S2'!$E$6:$E$7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4"/>
          <c:order val="4"/>
          <c:tx>
            <c:strRef>
              <c:f>'S2'!$F$4:$F$5</c:f>
              <c:strCache>
                <c:ptCount val="1"/>
                <c:pt idx="0">
                  <c:v>Bruno Garotti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'S2'!$F$6:$F$7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5"/>
          <c:order val="5"/>
          <c:tx>
            <c:strRef>
              <c:f>'S2'!$G$4:$G$5</c:f>
              <c:strCache>
                <c:ptCount val="1"/>
                <c:pt idx="0">
                  <c:v>Cédric Jimenez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'S2'!$G$6:$G$7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6"/>
          <c:order val="6"/>
          <c:tx>
            <c:strRef>
              <c:f>'S2'!$H$4:$H$5</c:f>
              <c:strCache>
                <c:ptCount val="1"/>
                <c:pt idx="0">
                  <c:v>Christian Schwochow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'S2'!$H$6:$H$7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7"/>
          <c:order val="7"/>
          <c:tx>
            <c:strRef>
              <c:f>'S2'!$I$4:$I$5</c:f>
              <c:strCache>
                <c:ptCount val="1"/>
                <c:pt idx="0">
                  <c:v>Daniel Espinosa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'S2'!$I$6:$I$7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8"/>
          <c:order val="8"/>
          <c:tx>
            <c:strRef>
              <c:f>'S2'!$J$4:$J$5</c:f>
              <c:strCache>
                <c:ptCount val="1"/>
                <c:pt idx="0">
                  <c:v>Daniel Sandu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'S2'!$J$6:$J$7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9"/>
          <c:order val="9"/>
          <c:tx>
            <c:strRef>
              <c:f>'S2'!$K$4:$K$5</c:f>
              <c:strCache>
                <c:ptCount val="1"/>
                <c:pt idx="0">
                  <c:v>Dennis Dugan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'S2'!$K$6:$K$7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0"/>
          <c:order val="10"/>
          <c:tx>
            <c:strRef>
              <c:f>'S2'!$L$4:$L$5</c:f>
              <c:strCache>
                <c:ptCount val="1"/>
                <c:pt idx="0">
                  <c:v>George Nolfi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'S2'!$L$6:$L$7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1"/>
          <c:order val="11"/>
          <c:tx>
            <c:strRef>
              <c:f>'S2'!$M$4:$M$5</c:f>
              <c:strCache>
                <c:ptCount val="1"/>
                <c:pt idx="0">
                  <c:v>Haile Gerima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'S2'!$M$6:$M$7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2"/>
          <c:order val="12"/>
          <c:tx>
            <c:strRef>
              <c:f>'S2'!$N$4:$N$5</c:f>
              <c:strCache>
                <c:ptCount val="1"/>
                <c:pt idx="0">
                  <c:v>Jeannot Szwarc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'S2'!$N$6:$N$7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3"/>
          <c:order val="13"/>
          <c:tx>
            <c:strRef>
              <c:f>'S2'!$O$4:$O$5</c:f>
              <c:strCache>
                <c:ptCount val="1"/>
                <c:pt idx="0">
                  <c:v>Joe Alves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'S2'!$O$6:$O$7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4"/>
          <c:order val="14"/>
          <c:tx>
            <c:strRef>
              <c:f>'S2'!$P$4:$P$5</c:f>
              <c:strCache>
                <c:ptCount val="1"/>
                <c:pt idx="0">
                  <c:v>Joseph Sargent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'S2'!$P$6:$P$7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5"/>
          <c:order val="15"/>
          <c:tx>
            <c:strRef>
              <c:f>'S2'!$Q$4:$Q$5</c:f>
              <c:strCache>
                <c:ptCount val="1"/>
                <c:pt idx="0">
                  <c:v>K.S. Ravikumar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'S2'!$Q$6:$Q$7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6"/>
          <c:order val="16"/>
          <c:tx>
            <c:strRef>
              <c:f>'S2'!$R$4:$R$5</c:f>
              <c:strCache>
                <c:ptCount val="1"/>
                <c:pt idx="0">
                  <c:v>Kirsten Johnson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'S2'!$R$6:$R$7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7"/>
          <c:order val="17"/>
          <c:tx>
            <c:strRef>
              <c:f>'S2'!$S$4:$S$5</c:f>
              <c:strCache>
                <c:ptCount val="1"/>
                <c:pt idx="0">
                  <c:v>Pedro de Echave García, Pablo Azorín Williams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'S2'!$S$6:$S$7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8"/>
          <c:order val="18"/>
          <c:tx>
            <c:strRef>
              <c:f>'S2'!$T$4:$T$5</c:f>
              <c:strCache>
                <c:ptCount val="1"/>
                <c:pt idx="0">
                  <c:v>Rajiv Menon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'S2'!$T$6:$T$7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9"/>
          <c:order val="19"/>
          <c:tx>
            <c:strRef>
              <c:f>'S2'!$U$4:$U$5</c:f>
              <c:strCache>
                <c:ptCount val="1"/>
                <c:pt idx="0">
                  <c:v>Robert Cullen, José Luis Ucha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'S2'!$U$6:$U$7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0"/>
          <c:order val="20"/>
          <c:tx>
            <c:strRef>
              <c:f>'S2'!$V$4:$V$5</c:f>
              <c:strCache>
                <c:ptCount val="1"/>
                <c:pt idx="0">
                  <c:v>Robert Luketic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'S2'!$V$6:$V$7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1"/>
          <c:order val="21"/>
          <c:tx>
            <c:strRef>
              <c:f>'S2'!$W$4:$W$5</c:f>
              <c:strCache>
                <c:ptCount val="1"/>
                <c:pt idx="0">
                  <c:v>S. Shankar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'S2'!$W$6:$W$7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2"/>
          <c:order val="22"/>
          <c:tx>
            <c:strRef>
              <c:f>'S2'!$X$4:$X$5</c:f>
              <c:strCache>
                <c:ptCount val="1"/>
                <c:pt idx="0">
                  <c:v>Scott Stewart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'S2'!$X$6:$X$7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3"/>
          <c:order val="23"/>
          <c:tx>
            <c:strRef>
              <c:f>'S2'!$Y$4:$Y$5</c:f>
              <c:strCache>
                <c:ptCount val="1"/>
                <c:pt idx="0">
                  <c:v>Steven Spielberg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'S2'!$Y$6:$Y$7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4"/>
          <c:order val="24"/>
          <c:tx>
            <c:strRef>
              <c:f>'S2'!$Z$4:$Z$5</c:f>
              <c:strCache>
                <c:ptCount val="1"/>
                <c:pt idx="0">
                  <c:v>Theodore Melfi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'S2'!$Z$6:$Z$7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5"/>
          <c:order val="25"/>
          <c:tx>
            <c:strRef>
              <c:f>'S2'!$AA$4:$AA$5</c:f>
              <c:strCache>
                <c:ptCount val="1"/>
                <c:pt idx="0">
                  <c:v>Toshiya Shinohara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'S2'!$AA$6:$AA$7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ser>
          <c:idx val="26"/>
          <c:order val="26"/>
          <c:tx>
            <c:strRef>
              <c:f>'S2'!$AB$4:$AB$5</c:f>
              <c:strCache>
                <c:ptCount val="1"/>
                <c:pt idx="0">
                  <c:v>Tyler Greco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'S2'!$AB$6:$AB$7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marker val="1"/>
        <c:axId val="72606080"/>
        <c:axId val="72607616"/>
      </c:lineChart>
      <c:catAx>
        <c:axId val="72606080"/>
        <c:scaling>
          <c:orientation val="minMax"/>
        </c:scaling>
        <c:axPos val="b"/>
        <c:tickLblPos val="nextTo"/>
        <c:crossAx val="72607616"/>
        <c:crosses val="autoZero"/>
        <c:auto val="1"/>
        <c:lblAlgn val="ctr"/>
        <c:lblOffset val="100"/>
      </c:catAx>
      <c:valAx>
        <c:axId val="72607616"/>
        <c:scaling>
          <c:orientation val="minMax"/>
        </c:scaling>
        <c:axPos val="l"/>
        <c:majorGridlines/>
        <c:numFmt formatCode="General" sourceLinked="1"/>
        <c:tickLblPos val="nextTo"/>
        <c:crossAx val="726060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[nn11.xlsx]S2!PivotTable1</c:name>
    <c:fmtId val="2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'S2'!$B$4:$B$5</c:f>
              <c:strCache>
                <c:ptCount val="1"/>
                <c:pt idx="0">
                  <c:v>Adam Salky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'S2'!$B$6:$B$7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'S2'!$C$4:$C$5</c:f>
              <c:strCache>
                <c:ptCount val="1"/>
                <c:pt idx="0">
                  <c:v>Alex Woo, Stanley Moore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'S2'!$C$6:$C$7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'S2'!$D$4:$D$5</c:f>
              <c:strCache>
                <c:ptCount val="1"/>
                <c:pt idx="0">
                  <c:v>Antoine Fuqua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'S2'!$D$6:$D$7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3"/>
          <c:order val="3"/>
          <c:tx>
            <c:strRef>
              <c:f>'S2'!$E$4:$E$5</c:f>
              <c:strCache>
                <c:ptCount val="1"/>
                <c:pt idx="0">
                  <c:v>Ashwiny Iyer Tiwari, Abhishek Chaubey, Saket Chaudhary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'S2'!$E$6:$E$7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4"/>
          <c:order val="4"/>
          <c:tx>
            <c:strRef>
              <c:f>'S2'!$F$4:$F$5</c:f>
              <c:strCache>
                <c:ptCount val="1"/>
                <c:pt idx="0">
                  <c:v>Bruno Garotti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'S2'!$F$6:$F$7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5"/>
          <c:order val="5"/>
          <c:tx>
            <c:strRef>
              <c:f>'S2'!$G$4:$G$5</c:f>
              <c:strCache>
                <c:ptCount val="1"/>
                <c:pt idx="0">
                  <c:v>Cédric Jimenez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'S2'!$G$6:$G$7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6"/>
          <c:order val="6"/>
          <c:tx>
            <c:strRef>
              <c:f>'S2'!$H$4:$H$5</c:f>
              <c:strCache>
                <c:ptCount val="1"/>
                <c:pt idx="0">
                  <c:v>Christian Schwochow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'S2'!$H$6:$H$7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7"/>
          <c:order val="7"/>
          <c:tx>
            <c:strRef>
              <c:f>'S2'!$I$4:$I$5</c:f>
              <c:strCache>
                <c:ptCount val="1"/>
                <c:pt idx="0">
                  <c:v>Daniel Espinosa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'S2'!$I$6:$I$7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8"/>
          <c:order val="8"/>
          <c:tx>
            <c:strRef>
              <c:f>'S2'!$J$4:$J$5</c:f>
              <c:strCache>
                <c:ptCount val="1"/>
                <c:pt idx="0">
                  <c:v>Daniel Sandu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'S2'!$J$6:$J$7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9"/>
          <c:order val="9"/>
          <c:tx>
            <c:strRef>
              <c:f>'S2'!$K$4:$K$5</c:f>
              <c:strCache>
                <c:ptCount val="1"/>
                <c:pt idx="0">
                  <c:v>Dennis Dugan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'S2'!$K$6:$K$7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0"/>
          <c:order val="10"/>
          <c:tx>
            <c:strRef>
              <c:f>'S2'!$L$4:$L$5</c:f>
              <c:strCache>
                <c:ptCount val="1"/>
                <c:pt idx="0">
                  <c:v>George Nolfi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'S2'!$L$6:$L$7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1"/>
          <c:order val="11"/>
          <c:tx>
            <c:strRef>
              <c:f>'S2'!$M$4:$M$5</c:f>
              <c:strCache>
                <c:ptCount val="1"/>
                <c:pt idx="0">
                  <c:v>Haile Gerima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'S2'!$M$6:$M$7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2"/>
          <c:order val="12"/>
          <c:tx>
            <c:strRef>
              <c:f>'S2'!$N$4:$N$5</c:f>
              <c:strCache>
                <c:ptCount val="1"/>
                <c:pt idx="0">
                  <c:v>Jeannot Szwarc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'S2'!$N$6:$N$7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3"/>
          <c:order val="13"/>
          <c:tx>
            <c:strRef>
              <c:f>'S2'!$O$4:$O$5</c:f>
              <c:strCache>
                <c:ptCount val="1"/>
                <c:pt idx="0">
                  <c:v>Joe Alves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'S2'!$O$6:$O$7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4"/>
          <c:order val="14"/>
          <c:tx>
            <c:strRef>
              <c:f>'S2'!$P$4:$P$5</c:f>
              <c:strCache>
                <c:ptCount val="1"/>
                <c:pt idx="0">
                  <c:v>Joseph Sargent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'S2'!$P$6:$P$7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5"/>
          <c:order val="15"/>
          <c:tx>
            <c:strRef>
              <c:f>'S2'!$Q$4:$Q$5</c:f>
              <c:strCache>
                <c:ptCount val="1"/>
                <c:pt idx="0">
                  <c:v>K.S. Ravikumar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'S2'!$Q$6:$Q$7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6"/>
          <c:order val="16"/>
          <c:tx>
            <c:strRef>
              <c:f>'S2'!$R$4:$R$5</c:f>
              <c:strCache>
                <c:ptCount val="1"/>
                <c:pt idx="0">
                  <c:v>Kirsten Johnson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'S2'!$R$6:$R$7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7"/>
          <c:order val="17"/>
          <c:tx>
            <c:strRef>
              <c:f>'S2'!$S$4:$S$5</c:f>
              <c:strCache>
                <c:ptCount val="1"/>
                <c:pt idx="0">
                  <c:v>Pedro de Echave García, Pablo Azorín Williams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'S2'!$S$6:$S$7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8"/>
          <c:order val="18"/>
          <c:tx>
            <c:strRef>
              <c:f>'S2'!$T$4:$T$5</c:f>
              <c:strCache>
                <c:ptCount val="1"/>
                <c:pt idx="0">
                  <c:v>Rajiv Menon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'S2'!$T$6:$T$7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9"/>
          <c:order val="19"/>
          <c:tx>
            <c:strRef>
              <c:f>'S2'!$U$4:$U$5</c:f>
              <c:strCache>
                <c:ptCount val="1"/>
                <c:pt idx="0">
                  <c:v>Robert Cullen, José Luis Ucha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'S2'!$U$6:$U$7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0"/>
          <c:order val="20"/>
          <c:tx>
            <c:strRef>
              <c:f>'S2'!$V$4:$V$5</c:f>
              <c:strCache>
                <c:ptCount val="1"/>
                <c:pt idx="0">
                  <c:v>Robert Luketic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'S2'!$V$6:$V$7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1"/>
          <c:order val="21"/>
          <c:tx>
            <c:strRef>
              <c:f>'S2'!$W$4:$W$5</c:f>
              <c:strCache>
                <c:ptCount val="1"/>
                <c:pt idx="0">
                  <c:v>S. Shankar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'S2'!$W$6:$W$7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2"/>
          <c:order val="22"/>
          <c:tx>
            <c:strRef>
              <c:f>'S2'!$X$4:$X$5</c:f>
              <c:strCache>
                <c:ptCount val="1"/>
                <c:pt idx="0">
                  <c:v>Scott Stewart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'S2'!$X$6:$X$7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3"/>
          <c:order val="23"/>
          <c:tx>
            <c:strRef>
              <c:f>'S2'!$Y$4:$Y$5</c:f>
              <c:strCache>
                <c:ptCount val="1"/>
                <c:pt idx="0">
                  <c:v>Steven Spielberg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'S2'!$Y$6:$Y$7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4"/>
          <c:order val="24"/>
          <c:tx>
            <c:strRef>
              <c:f>'S2'!$Z$4:$Z$5</c:f>
              <c:strCache>
                <c:ptCount val="1"/>
                <c:pt idx="0">
                  <c:v>Theodore Melfi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'S2'!$Z$6:$Z$7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5"/>
          <c:order val="25"/>
          <c:tx>
            <c:strRef>
              <c:f>'S2'!$AA$4:$AA$5</c:f>
              <c:strCache>
                <c:ptCount val="1"/>
                <c:pt idx="0">
                  <c:v>Toshiya Shinohara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'S2'!$AA$6:$AA$7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ser>
          <c:idx val="26"/>
          <c:order val="26"/>
          <c:tx>
            <c:strRef>
              <c:f>'S2'!$AB$4:$AB$5</c:f>
              <c:strCache>
                <c:ptCount val="1"/>
                <c:pt idx="0">
                  <c:v>Tyler Greco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'S2'!$AB$6:$AB$7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hape val="box"/>
        <c:axId val="68061440"/>
        <c:axId val="68087808"/>
        <c:axId val="0"/>
      </c:bar3DChart>
      <c:catAx>
        <c:axId val="68061440"/>
        <c:scaling>
          <c:orientation val="minMax"/>
        </c:scaling>
        <c:axPos val="b"/>
        <c:tickLblPos val="nextTo"/>
        <c:crossAx val="68087808"/>
        <c:crosses val="autoZero"/>
        <c:auto val="1"/>
        <c:lblAlgn val="ctr"/>
        <c:lblOffset val="100"/>
      </c:catAx>
      <c:valAx>
        <c:axId val="68087808"/>
        <c:scaling>
          <c:orientation val="minMax"/>
        </c:scaling>
        <c:axPos val="l"/>
        <c:majorGridlines/>
        <c:numFmt formatCode="General" sourceLinked="1"/>
        <c:tickLblPos val="nextTo"/>
        <c:crossAx val="680614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[nn11.xlsx]S2!PivotTable1</c:name>
    <c:fmtId val="3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'S2'!$B$4:$B$5</c:f>
              <c:strCache>
                <c:ptCount val="1"/>
                <c:pt idx="0">
                  <c:v>Adam Salky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'S2'!$B$6:$B$7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'S2'!$C$4:$C$5</c:f>
              <c:strCache>
                <c:ptCount val="1"/>
                <c:pt idx="0">
                  <c:v>Alex Woo, Stanley Moore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'S2'!$C$6:$C$7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'S2'!$D$4:$D$5</c:f>
              <c:strCache>
                <c:ptCount val="1"/>
                <c:pt idx="0">
                  <c:v>Antoine Fuqua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'S2'!$D$6:$D$7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3"/>
          <c:order val="3"/>
          <c:tx>
            <c:strRef>
              <c:f>'S2'!$E$4:$E$5</c:f>
              <c:strCache>
                <c:ptCount val="1"/>
                <c:pt idx="0">
                  <c:v>Ashwiny Iyer Tiwari, Abhishek Chaubey, Saket Chaudhary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'S2'!$E$6:$E$7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4"/>
          <c:order val="4"/>
          <c:tx>
            <c:strRef>
              <c:f>'S2'!$F$4:$F$5</c:f>
              <c:strCache>
                <c:ptCount val="1"/>
                <c:pt idx="0">
                  <c:v>Bruno Garotti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'S2'!$F$6:$F$7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5"/>
          <c:order val="5"/>
          <c:tx>
            <c:strRef>
              <c:f>'S2'!$G$4:$G$5</c:f>
              <c:strCache>
                <c:ptCount val="1"/>
                <c:pt idx="0">
                  <c:v>Cédric Jimenez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'S2'!$G$6:$G$7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6"/>
          <c:order val="6"/>
          <c:tx>
            <c:strRef>
              <c:f>'S2'!$H$4:$H$5</c:f>
              <c:strCache>
                <c:ptCount val="1"/>
                <c:pt idx="0">
                  <c:v>Christian Schwochow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'S2'!$H$6:$H$7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7"/>
          <c:order val="7"/>
          <c:tx>
            <c:strRef>
              <c:f>'S2'!$I$4:$I$5</c:f>
              <c:strCache>
                <c:ptCount val="1"/>
                <c:pt idx="0">
                  <c:v>Daniel Espinosa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'S2'!$I$6:$I$7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8"/>
          <c:order val="8"/>
          <c:tx>
            <c:strRef>
              <c:f>'S2'!$J$4:$J$5</c:f>
              <c:strCache>
                <c:ptCount val="1"/>
                <c:pt idx="0">
                  <c:v>Daniel Sandu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'S2'!$J$6:$J$7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9"/>
          <c:order val="9"/>
          <c:tx>
            <c:strRef>
              <c:f>'S2'!$K$4:$K$5</c:f>
              <c:strCache>
                <c:ptCount val="1"/>
                <c:pt idx="0">
                  <c:v>Dennis Dugan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'S2'!$K$6:$K$7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0"/>
          <c:order val="10"/>
          <c:tx>
            <c:strRef>
              <c:f>'S2'!$L$4:$L$5</c:f>
              <c:strCache>
                <c:ptCount val="1"/>
                <c:pt idx="0">
                  <c:v>George Nolfi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'S2'!$L$6:$L$7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1"/>
          <c:order val="11"/>
          <c:tx>
            <c:strRef>
              <c:f>'S2'!$M$4:$M$5</c:f>
              <c:strCache>
                <c:ptCount val="1"/>
                <c:pt idx="0">
                  <c:v>Haile Gerima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'S2'!$M$6:$M$7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2"/>
          <c:order val="12"/>
          <c:tx>
            <c:strRef>
              <c:f>'S2'!$N$4:$N$5</c:f>
              <c:strCache>
                <c:ptCount val="1"/>
                <c:pt idx="0">
                  <c:v>Jeannot Szwarc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'S2'!$N$6:$N$7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3"/>
          <c:order val="13"/>
          <c:tx>
            <c:strRef>
              <c:f>'S2'!$O$4:$O$5</c:f>
              <c:strCache>
                <c:ptCount val="1"/>
                <c:pt idx="0">
                  <c:v>Joe Alves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'S2'!$O$6:$O$7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4"/>
          <c:order val="14"/>
          <c:tx>
            <c:strRef>
              <c:f>'S2'!$P$4:$P$5</c:f>
              <c:strCache>
                <c:ptCount val="1"/>
                <c:pt idx="0">
                  <c:v>Joseph Sargent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'S2'!$P$6:$P$7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5"/>
          <c:order val="15"/>
          <c:tx>
            <c:strRef>
              <c:f>'S2'!$Q$4:$Q$5</c:f>
              <c:strCache>
                <c:ptCount val="1"/>
                <c:pt idx="0">
                  <c:v>K.S. Ravikumar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'S2'!$Q$6:$Q$7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6"/>
          <c:order val="16"/>
          <c:tx>
            <c:strRef>
              <c:f>'S2'!$R$4:$R$5</c:f>
              <c:strCache>
                <c:ptCount val="1"/>
                <c:pt idx="0">
                  <c:v>Kirsten Johnson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'S2'!$R$6:$R$7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7"/>
          <c:order val="17"/>
          <c:tx>
            <c:strRef>
              <c:f>'S2'!$S$4:$S$5</c:f>
              <c:strCache>
                <c:ptCount val="1"/>
                <c:pt idx="0">
                  <c:v>Pedro de Echave García, Pablo Azorín Williams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'S2'!$S$6:$S$7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8"/>
          <c:order val="18"/>
          <c:tx>
            <c:strRef>
              <c:f>'S2'!$T$4:$T$5</c:f>
              <c:strCache>
                <c:ptCount val="1"/>
                <c:pt idx="0">
                  <c:v>Rajiv Menon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'S2'!$T$6:$T$7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9"/>
          <c:order val="19"/>
          <c:tx>
            <c:strRef>
              <c:f>'S2'!$U$4:$U$5</c:f>
              <c:strCache>
                <c:ptCount val="1"/>
                <c:pt idx="0">
                  <c:v>Robert Cullen, José Luis Ucha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'S2'!$U$6:$U$7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0"/>
          <c:order val="20"/>
          <c:tx>
            <c:strRef>
              <c:f>'S2'!$V$4:$V$5</c:f>
              <c:strCache>
                <c:ptCount val="1"/>
                <c:pt idx="0">
                  <c:v>Robert Luketic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'S2'!$V$6:$V$7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1"/>
          <c:order val="21"/>
          <c:tx>
            <c:strRef>
              <c:f>'S2'!$W$4:$W$5</c:f>
              <c:strCache>
                <c:ptCount val="1"/>
                <c:pt idx="0">
                  <c:v>S. Shankar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'S2'!$W$6:$W$7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2"/>
          <c:order val="22"/>
          <c:tx>
            <c:strRef>
              <c:f>'S2'!$X$4:$X$5</c:f>
              <c:strCache>
                <c:ptCount val="1"/>
                <c:pt idx="0">
                  <c:v>Scott Stewart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'S2'!$X$6:$X$7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3"/>
          <c:order val="23"/>
          <c:tx>
            <c:strRef>
              <c:f>'S2'!$Y$4:$Y$5</c:f>
              <c:strCache>
                <c:ptCount val="1"/>
                <c:pt idx="0">
                  <c:v>Steven Spielberg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'S2'!$Y$6:$Y$7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4"/>
          <c:order val="24"/>
          <c:tx>
            <c:strRef>
              <c:f>'S2'!$Z$4:$Z$5</c:f>
              <c:strCache>
                <c:ptCount val="1"/>
                <c:pt idx="0">
                  <c:v>Theodore Melfi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'S2'!$Z$6:$Z$7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5"/>
          <c:order val="25"/>
          <c:tx>
            <c:strRef>
              <c:f>'S2'!$AA$4:$AA$5</c:f>
              <c:strCache>
                <c:ptCount val="1"/>
                <c:pt idx="0">
                  <c:v>Toshiya Shinohara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'S2'!$AA$6:$AA$7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ser>
          <c:idx val="26"/>
          <c:order val="26"/>
          <c:tx>
            <c:strRef>
              <c:f>'S2'!$AB$4:$AB$5</c:f>
              <c:strCache>
                <c:ptCount val="1"/>
                <c:pt idx="0">
                  <c:v>Tyler Greco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'S2'!$AB$6:$AB$7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[nn11.xlsx]S2!PivotTable1</c:name>
    <c:fmtId val="5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'S2'!$B$4:$B$5</c:f>
              <c:strCache>
                <c:ptCount val="1"/>
                <c:pt idx="0">
                  <c:v>Adam Salky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'S2'!$B$6:$B$7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'S2'!$C$4:$C$5</c:f>
              <c:strCache>
                <c:ptCount val="1"/>
                <c:pt idx="0">
                  <c:v>Alex Woo, Stanley Moore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'S2'!$C$6:$C$7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'S2'!$D$4:$D$5</c:f>
              <c:strCache>
                <c:ptCount val="1"/>
                <c:pt idx="0">
                  <c:v>Antoine Fuqua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'S2'!$D$6:$D$7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3"/>
          <c:order val="3"/>
          <c:tx>
            <c:strRef>
              <c:f>'S2'!$E$4:$E$5</c:f>
              <c:strCache>
                <c:ptCount val="1"/>
                <c:pt idx="0">
                  <c:v>Ashwiny Iyer Tiwari, Abhishek Chaubey, Saket Chaudhary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'S2'!$E$6:$E$7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4"/>
          <c:order val="4"/>
          <c:tx>
            <c:strRef>
              <c:f>'S2'!$F$4:$F$5</c:f>
              <c:strCache>
                <c:ptCount val="1"/>
                <c:pt idx="0">
                  <c:v>Bruno Garotti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'S2'!$F$6:$F$7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5"/>
          <c:order val="5"/>
          <c:tx>
            <c:strRef>
              <c:f>'S2'!$G$4:$G$5</c:f>
              <c:strCache>
                <c:ptCount val="1"/>
                <c:pt idx="0">
                  <c:v>Cédric Jimenez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'S2'!$G$6:$G$7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6"/>
          <c:order val="6"/>
          <c:tx>
            <c:strRef>
              <c:f>'S2'!$H$4:$H$5</c:f>
              <c:strCache>
                <c:ptCount val="1"/>
                <c:pt idx="0">
                  <c:v>Christian Schwochow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'S2'!$H$6:$H$7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7"/>
          <c:order val="7"/>
          <c:tx>
            <c:strRef>
              <c:f>'S2'!$I$4:$I$5</c:f>
              <c:strCache>
                <c:ptCount val="1"/>
                <c:pt idx="0">
                  <c:v>Daniel Espinosa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'S2'!$I$6:$I$7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8"/>
          <c:order val="8"/>
          <c:tx>
            <c:strRef>
              <c:f>'S2'!$J$4:$J$5</c:f>
              <c:strCache>
                <c:ptCount val="1"/>
                <c:pt idx="0">
                  <c:v>Daniel Sandu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'S2'!$J$6:$J$7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9"/>
          <c:order val="9"/>
          <c:tx>
            <c:strRef>
              <c:f>'S2'!$K$4:$K$5</c:f>
              <c:strCache>
                <c:ptCount val="1"/>
                <c:pt idx="0">
                  <c:v>Dennis Dugan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'S2'!$K$6:$K$7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0"/>
          <c:order val="10"/>
          <c:tx>
            <c:strRef>
              <c:f>'S2'!$L$4:$L$5</c:f>
              <c:strCache>
                <c:ptCount val="1"/>
                <c:pt idx="0">
                  <c:v>George Nolfi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'S2'!$L$6:$L$7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1"/>
          <c:order val="11"/>
          <c:tx>
            <c:strRef>
              <c:f>'S2'!$M$4:$M$5</c:f>
              <c:strCache>
                <c:ptCount val="1"/>
                <c:pt idx="0">
                  <c:v>Haile Gerima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'S2'!$M$6:$M$7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2"/>
          <c:order val="12"/>
          <c:tx>
            <c:strRef>
              <c:f>'S2'!$N$4:$N$5</c:f>
              <c:strCache>
                <c:ptCount val="1"/>
                <c:pt idx="0">
                  <c:v>Jeannot Szwarc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'S2'!$N$6:$N$7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3"/>
          <c:order val="13"/>
          <c:tx>
            <c:strRef>
              <c:f>'S2'!$O$4:$O$5</c:f>
              <c:strCache>
                <c:ptCount val="1"/>
                <c:pt idx="0">
                  <c:v>Joe Alves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'S2'!$O$6:$O$7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4"/>
          <c:order val="14"/>
          <c:tx>
            <c:strRef>
              <c:f>'S2'!$P$4:$P$5</c:f>
              <c:strCache>
                <c:ptCount val="1"/>
                <c:pt idx="0">
                  <c:v>Joseph Sargent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'S2'!$P$6:$P$7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5"/>
          <c:order val="15"/>
          <c:tx>
            <c:strRef>
              <c:f>'S2'!$Q$4:$Q$5</c:f>
              <c:strCache>
                <c:ptCount val="1"/>
                <c:pt idx="0">
                  <c:v>K.S. Ravikumar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'S2'!$Q$6:$Q$7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6"/>
          <c:order val="16"/>
          <c:tx>
            <c:strRef>
              <c:f>'S2'!$R$4:$R$5</c:f>
              <c:strCache>
                <c:ptCount val="1"/>
                <c:pt idx="0">
                  <c:v>Kirsten Johnson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'S2'!$R$6:$R$7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7"/>
          <c:order val="17"/>
          <c:tx>
            <c:strRef>
              <c:f>'S2'!$S$4:$S$5</c:f>
              <c:strCache>
                <c:ptCount val="1"/>
                <c:pt idx="0">
                  <c:v>Pedro de Echave García, Pablo Azorín Williams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'S2'!$S$6:$S$7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8"/>
          <c:order val="18"/>
          <c:tx>
            <c:strRef>
              <c:f>'S2'!$T$4:$T$5</c:f>
              <c:strCache>
                <c:ptCount val="1"/>
                <c:pt idx="0">
                  <c:v>Rajiv Menon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'S2'!$T$6:$T$7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9"/>
          <c:order val="19"/>
          <c:tx>
            <c:strRef>
              <c:f>'S2'!$U$4:$U$5</c:f>
              <c:strCache>
                <c:ptCount val="1"/>
                <c:pt idx="0">
                  <c:v>Robert Cullen, José Luis Ucha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'S2'!$U$6:$U$7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0"/>
          <c:order val="20"/>
          <c:tx>
            <c:strRef>
              <c:f>'S2'!$V$4:$V$5</c:f>
              <c:strCache>
                <c:ptCount val="1"/>
                <c:pt idx="0">
                  <c:v>Robert Luketic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'S2'!$V$6:$V$7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1"/>
          <c:order val="21"/>
          <c:tx>
            <c:strRef>
              <c:f>'S2'!$W$4:$W$5</c:f>
              <c:strCache>
                <c:ptCount val="1"/>
                <c:pt idx="0">
                  <c:v>S. Shankar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'S2'!$W$6:$W$7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2"/>
          <c:order val="22"/>
          <c:tx>
            <c:strRef>
              <c:f>'S2'!$X$4:$X$5</c:f>
              <c:strCache>
                <c:ptCount val="1"/>
                <c:pt idx="0">
                  <c:v>Scott Stewart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'S2'!$X$6:$X$7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3"/>
          <c:order val="23"/>
          <c:tx>
            <c:strRef>
              <c:f>'S2'!$Y$4:$Y$5</c:f>
              <c:strCache>
                <c:ptCount val="1"/>
                <c:pt idx="0">
                  <c:v>Steven Spielberg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'S2'!$Y$6:$Y$7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4"/>
          <c:order val="24"/>
          <c:tx>
            <c:strRef>
              <c:f>'S2'!$Z$4:$Z$5</c:f>
              <c:strCache>
                <c:ptCount val="1"/>
                <c:pt idx="0">
                  <c:v>Theodore Melfi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'S2'!$Z$6:$Z$7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5"/>
          <c:order val="25"/>
          <c:tx>
            <c:strRef>
              <c:f>'S2'!$AA$4:$AA$5</c:f>
              <c:strCache>
                <c:ptCount val="1"/>
                <c:pt idx="0">
                  <c:v>Toshiya Shinohara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'S2'!$AA$6:$AA$7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ser>
          <c:idx val="26"/>
          <c:order val="26"/>
          <c:tx>
            <c:strRef>
              <c:f>'S2'!$AB$4:$AB$5</c:f>
              <c:strCache>
                <c:ptCount val="1"/>
                <c:pt idx="0">
                  <c:v>Tyler Greco</c:v>
                </c:pt>
              </c:strCache>
            </c:strRef>
          </c:tx>
          <c:cat>
            <c:strRef>
              <c:f>'S2'!$A$6:$A$7</c:f>
              <c:strCache>
                <c:ptCount val="1"/>
                <c:pt idx="0">
                  <c:v>Movie</c:v>
                </c:pt>
              </c:strCache>
            </c:strRef>
          </c:cat>
          <c:val>
            <c:numRef>
              <c:f>'S2'!$AB$6:$AB$7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</c:pie3D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Movies by Director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'[1]Chart Data'!$B$1</c:f>
              <c:strCache>
                <c:ptCount val="1"/>
                <c:pt idx="0">
                  <c:v>Movie 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'[1]Chart Data'!$A$2:$A$28</c:f>
              <c:strCache>
                <c:ptCount val="27"/>
                <c:pt idx="0">
                  <c:v>Toshiya Shinohara</c:v>
                </c:pt>
                <c:pt idx="1">
                  <c:v>Adam Salky</c:v>
                </c:pt>
                <c:pt idx="2">
                  <c:v>Alex Woo, Stanley Moore</c:v>
                </c:pt>
                <c:pt idx="3">
                  <c:v>Antoine Fuqua</c:v>
                </c:pt>
                <c:pt idx="4">
                  <c:v>Ashwiny Iyer Tiwari, Abhishek Chaubey, Saket Chaudhary</c:v>
                </c:pt>
                <c:pt idx="5">
                  <c:v>Bruno Garotti</c:v>
                </c:pt>
                <c:pt idx="6">
                  <c:v>Christian Schwochow</c:v>
                </c:pt>
                <c:pt idx="7">
                  <c:v>Cédric Jimenez</c:v>
                </c:pt>
                <c:pt idx="8">
                  <c:v>Daniel Espinosa</c:v>
                </c:pt>
                <c:pt idx="9">
                  <c:v>Daniel Sandu</c:v>
                </c:pt>
                <c:pt idx="10">
                  <c:v>Dennis Dugan</c:v>
                </c:pt>
                <c:pt idx="11">
                  <c:v>George Nolfi</c:v>
                </c:pt>
                <c:pt idx="12">
                  <c:v>Haile Gerima</c:v>
                </c:pt>
                <c:pt idx="13">
                  <c:v>Jeannot Szwarc</c:v>
                </c:pt>
                <c:pt idx="14">
                  <c:v>Joe Alves</c:v>
                </c:pt>
                <c:pt idx="15">
                  <c:v>Joseph Sargent</c:v>
                </c:pt>
                <c:pt idx="16">
                  <c:v>K.S. Ravikumar</c:v>
                </c:pt>
                <c:pt idx="17">
                  <c:v>Kirsten Johnson</c:v>
                </c:pt>
                <c:pt idx="18">
                  <c:v>Pedro de Echave García, Pablo Azorín Williams</c:v>
                </c:pt>
                <c:pt idx="19">
                  <c:v>Rajiv Menon</c:v>
                </c:pt>
                <c:pt idx="20">
                  <c:v>Robert Cullen, José Luis Ucha</c:v>
                </c:pt>
                <c:pt idx="21">
                  <c:v>Robert Luketic</c:v>
                </c:pt>
                <c:pt idx="22">
                  <c:v>S. Shankar</c:v>
                </c:pt>
                <c:pt idx="23">
                  <c:v>Scott Stewart</c:v>
                </c:pt>
                <c:pt idx="24">
                  <c:v>Steven Spielberg</c:v>
                </c:pt>
                <c:pt idx="25">
                  <c:v>Theodore Melfi</c:v>
                </c:pt>
                <c:pt idx="26">
                  <c:v>Tyler Greco</c:v>
                </c:pt>
              </c:strCache>
            </c:strRef>
          </c:cat>
          <c:val>
            <c:numRef>
              <c:f>'[1]Chart Data'!$B$2:$B$28</c:f>
              <c:numCache>
                <c:formatCode>General</c:formatCode>
                <c:ptCount val="27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</c:ser>
        <c:axId val="81887616"/>
        <c:axId val="83434112"/>
      </c:barChart>
      <c:catAx>
        <c:axId val="81887616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Movie Count</a:t>
                </a:r>
              </a:p>
            </c:rich>
          </c:tx>
          <c:layout/>
        </c:title>
        <c:majorTickMark val="none"/>
        <c:tickLblPos val="nextTo"/>
        <c:crossAx val="83434112"/>
        <c:crosses val="autoZero"/>
        <c:lblAlgn val="ctr"/>
        <c:lblOffset val="100"/>
      </c:catAx>
      <c:valAx>
        <c:axId val="8343411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Director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81887616"/>
        <c:crosses val="autoZero"/>
        <c:crossBetween val="between"/>
      </c:valAx>
    </c:plotArea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How many movies does each director have?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[2]ChartData!$B$1</c:f>
              <c:strCache>
                <c:ptCount val="1"/>
                <c:pt idx="0">
                  <c:v>Number of Directors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[2]ChartData!$A$2:$A$4</c:f>
              <c:strCache>
                <c:ptCount val="3"/>
                <c:pt idx="0">
                  <c:v>1 movie</c:v>
                </c:pt>
                <c:pt idx="1">
                  <c:v>2 movies</c:v>
                </c:pt>
                <c:pt idx="2">
                  <c:v>3 movies</c:v>
                </c:pt>
              </c:strCache>
            </c:strRef>
          </c:cat>
          <c:val>
            <c:numRef>
              <c:f>[2]ChartData!$B$2:$B$4</c:f>
              <c:numCache>
                <c:formatCode>General</c:formatCode>
                <c:ptCount val="3"/>
                <c:pt idx="0">
                  <c:v>26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</c:ser>
        <c:axId val="123455360"/>
        <c:axId val="123457536"/>
      </c:barChart>
      <c:catAx>
        <c:axId val="123455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Movies per Director</a:t>
                </a:r>
              </a:p>
            </c:rich>
          </c:tx>
          <c:layout/>
        </c:title>
        <c:majorTickMark val="none"/>
        <c:tickLblPos val="nextTo"/>
        <c:crossAx val="123457536"/>
        <c:crosses val="autoZero"/>
        <c:lblAlgn val="ctr"/>
        <c:lblOffset val="100"/>
      </c:catAx>
      <c:valAx>
        <c:axId val="12345753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Directors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23455360"/>
        <c:crosses val="autoZero"/>
        <c:crossBetween val="between"/>
      </c:valAx>
    </c:plotArea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Director concentration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[2]TopData!$B$1</c:f>
              <c:strCache>
                <c:ptCount val="1"/>
                <c:pt idx="0">
                  <c:v>Movies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[2]TopData!$A$2:$A$3</c:f>
              <c:strCache>
                <c:ptCount val="2"/>
                <c:pt idx="0">
                  <c:v>Toshiya Shinohara</c:v>
                </c:pt>
                <c:pt idx="1">
                  <c:v>All other directors</c:v>
                </c:pt>
              </c:strCache>
            </c:strRef>
          </c:cat>
          <c:val>
            <c:numRef>
              <c:f>[2]TopData!$B$2:$B$3</c:f>
              <c:numCache>
                <c:formatCode>General</c:formatCode>
                <c:ptCount val="2"/>
                <c:pt idx="0">
                  <c:v>3</c:v>
                </c:pt>
                <c:pt idx="1">
                  <c:v>26</c:v>
                </c:pt>
              </c:numCache>
            </c:numRef>
          </c:val>
        </c:ser>
        <c:axId val="76398976"/>
        <c:axId val="82082048"/>
      </c:barChart>
      <c:catAx>
        <c:axId val="76398976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Movie Count</a:t>
                </a:r>
              </a:p>
            </c:rich>
          </c:tx>
          <c:layout/>
        </c:title>
        <c:majorTickMark val="none"/>
        <c:tickLblPos val="nextTo"/>
        <c:crossAx val="82082048"/>
        <c:crosses val="autoZero"/>
        <c:lblAlgn val="ctr"/>
        <c:lblOffset val="100"/>
      </c:catAx>
      <c:valAx>
        <c:axId val="82082048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crossAx val="76398976"/>
        <c:crosses val="autoZero"/>
        <c:crossBetween val="between"/>
      </c:valAx>
    </c:plotArea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Movies: Toshiya Shinohara vs others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[2]ShareData!$B$1</c:f>
              <c:strCache>
                <c:ptCount val="1"/>
                <c:pt idx="0">
                  <c:v>Movies</c:v>
                </c:pt>
              </c:strCache>
            </c:strRef>
          </c:tx>
          <c:spPr>
            <a:ln>
              <a:prstDash val="solid"/>
            </a:ln>
          </c:spPr>
          <c:dLbls>
            <c:showPercent val="1"/>
          </c:dLbls>
          <c:cat>
            <c:strRef>
              <c:f>[2]ShareData!$A$2:$A$3</c:f>
              <c:strCache>
                <c:ptCount val="2"/>
                <c:pt idx="0">
                  <c:v>Toshiya Shinohara</c:v>
                </c:pt>
                <c:pt idx="1">
                  <c:v>Other directors</c:v>
                </c:pt>
              </c:strCache>
            </c:strRef>
          </c:cat>
          <c:val>
            <c:numRef>
              <c:f>[2]ShareData!$B$2:$B$3</c:f>
              <c:numCache>
                <c:formatCode>General</c:formatCode>
                <c:ptCount val="2"/>
                <c:pt idx="0">
                  <c:v>3</c:v>
                </c:pt>
                <c:pt idx="1">
                  <c:v>26</c:v>
                </c:pt>
              </c:numCache>
            </c:numRef>
          </c:val>
        </c:ser>
        <c:dLbls>
          <c:showPercent val="1"/>
        </c:dLbls>
        <c:firstSliceAng val="0"/>
        <c:holeSize val="55"/>
      </c:doughnutChart>
    </c:plotArea>
    <c:legend>
      <c:legendPos val="r"/>
      <c:layout/>
    </c:legend>
    <c:plotVisOnly val="1"/>
    <c:dispBlanksAs val="zero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Unique directors by portfolio type</a:t>
            </a:r>
          </a:p>
        </c:rich>
      </c:tx>
      <c:layout>
        <c:manualLayout>
          <c:xMode val="edge"/>
          <c:yMode val="edge"/>
          <c:x val="0.16341753576944248"/>
          <c:y val="6.7307128757072079E-2"/>
        </c:manualLayout>
      </c:layout>
    </c:title>
    <c:plotArea>
      <c:layout/>
      <c:pieChart>
        <c:varyColors val="1"/>
        <c:ser>
          <c:idx val="0"/>
          <c:order val="0"/>
          <c:tx>
            <c:strRef>
              <c:f>[2]TypeData!$B$1</c:f>
              <c:strCache>
                <c:ptCount val="1"/>
                <c:pt idx="0">
                  <c:v>Directors</c:v>
                </c:pt>
              </c:strCache>
            </c:strRef>
          </c:tx>
          <c:spPr>
            <a:ln>
              <a:prstDash val="solid"/>
            </a:ln>
          </c:spPr>
          <c:dLbls>
            <c:showPercent val="1"/>
          </c:dLbls>
          <c:cat>
            <c:strRef>
              <c:f>[2]TypeData!$A$2:$A$3</c:f>
              <c:strCache>
                <c:ptCount val="2"/>
                <c:pt idx="0">
                  <c:v>Single movie</c:v>
                </c:pt>
                <c:pt idx="1">
                  <c:v>Multiple movies</c:v>
                </c:pt>
              </c:strCache>
            </c:strRef>
          </c:cat>
          <c:val>
            <c:numRef>
              <c:f>[2]TypeData!$B$2:$B$3</c:f>
              <c:numCache>
                <c:formatCode>General</c:formatCode>
                <c:ptCount val="2"/>
                <c:pt idx="0">
                  <c:v>26</c:v>
                </c:pt>
                <c:pt idx="1">
                  <c:v>1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/>
    </c:legend>
    <c:plotVisOnly val="1"/>
    <c:dispBlanksAs val="zero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7</xdr:row>
      <xdr:rowOff>560294</xdr:rowOff>
    </xdr:from>
    <xdr:to>
      <xdr:col>18</xdr:col>
      <xdr:colOff>1304925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586628</xdr:colOff>
      <xdr:row>7</xdr:row>
      <xdr:rowOff>563095</xdr:rowOff>
    </xdr:from>
    <xdr:to>
      <xdr:col>13</xdr:col>
      <xdr:colOff>767603</xdr:colOff>
      <xdr:row>22</xdr:row>
      <xdr:rowOff>126066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685800</xdr:colOff>
      <xdr:row>7</xdr:row>
      <xdr:rowOff>546285</xdr:rowOff>
    </xdr:from>
    <xdr:to>
      <xdr:col>25</xdr:col>
      <xdr:colOff>70037</xdr:colOff>
      <xdr:row>22</xdr:row>
      <xdr:rowOff>123824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1447800</xdr:colOff>
      <xdr:row>7</xdr:row>
      <xdr:rowOff>546286</xdr:rowOff>
    </xdr:from>
    <xdr:to>
      <xdr:col>21</xdr:col>
      <xdr:colOff>514350</xdr:colOff>
      <xdr:row>22</xdr:row>
      <xdr:rowOff>152400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</xdr:col>
      <xdr:colOff>42022</xdr:colOff>
      <xdr:row>8</xdr:row>
      <xdr:rowOff>0</xdr:rowOff>
    </xdr:from>
    <xdr:ext cx="9525000" cy="285750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378198</xdr:colOff>
      <xdr:row>23</xdr:row>
      <xdr:rowOff>168088</xdr:rowOff>
    </xdr:from>
    <xdr:ext cx="4482353" cy="3242096"/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18</xdr:col>
      <xdr:colOff>1484779</xdr:colOff>
      <xdr:row>24</xdr:row>
      <xdr:rowOff>-1</xdr:rowOff>
    </xdr:from>
    <xdr:ext cx="4552389" cy="3179669"/>
    <xdr:graphicFrame macro="">
      <xdr:nvGraphicFramePr>
        <xdr:cNvPr id="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21</xdr:col>
      <xdr:colOff>672352</xdr:colOff>
      <xdr:row>24</xdr:row>
      <xdr:rowOff>0</xdr:rowOff>
    </xdr:from>
    <xdr:ext cx="4580405" cy="3060000"/>
    <xdr:graphicFrame macro="">
      <xdr:nvGraphicFramePr>
        <xdr:cNvPr id="1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25</xdr:col>
      <xdr:colOff>182096</xdr:colOff>
      <xdr:row>7</xdr:row>
      <xdr:rowOff>532279</xdr:rowOff>
    </xdr:from>
    <xdr:ext cx="3445809" cy="2913530"/>
    <xdr:graphicFrame macro="">
      <xdr:nvGraphicFramePr>
        <xdr:cNvPr id="1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4</xdr:col>
      <xdr:colOff>2829485</xdr:colOff>
      <xdr:row>7</xdr:row>
      <xdr:rowOff>238125</xdr:rowOff>
    </xdr:from>
    <xdr:ext cx="184731" cy="264560"/>
    <xdr:sp macro="" textlink="">
      <xdr:nvSpPr>
        <xdr:cNvPr id="12" name="TextBox 11"/>
        <xdr:cNvSpPr txBox="1"/>
      </xdr:nvSpPr>
      <xdr:spPr>
        <a:xfrm>
          <a:off x="7353860" y="1610846"/>
          <a:ext cx="184731" cy="26456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658346</xdr:colOff>
      <xdr:row>6</xdr:row>
      <xdr:rowOff>42021</xdr:rowOff>
    </xdr:from>
    <xdr:ext cx="8222315" cy="718466"/>
    <xdr:sp macro="" textlink="">
      <xdr:nvSpPr>
        <xdr:cNvPr id="13" name="Rectangle 12"/>
        <xdr:cNvSpPr/>
      </xdr:nvSpPr>
      <xdr:spPr>
        <a:xfrm>
          <a:off x="5182721" y="1218639"/>
          <a:ext cx="8222315" cy="71846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000" b="1" cap="none" spc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NETFLIX</a:t>
          </a:r>
          <a:r>
            <a:rPr lang="en-US" sz="4000" b="1" cap="none" spc="0" baseline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 </a:t>
          </a:r>
          <a:r>
            <a:rPr lang="en-US" sz="4000" b="1" cap="none" spc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DASHBOARD</a:t>
          </a:r>
          <a:r>
            <a:rPr lang="en-US" sz="40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Y/Downloads/Movie_Director_Dashboard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Y/Downloads/Professional_Movie_Director_Dashboar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shboard"/>
      <sheetName val="Sheet1"/>
      <sheetName val="Director Data"/>
      <sheetName val="Chart Data"/>
    </sheetNames>
    <sheetDataSet>
      <sheetData sheetId="0" refreshError="1"/>
      <sheetData sheetId="1" refreshError="1"/>
      <sheetData sheetId="2" refreshError="1"/>
      <sheetData sheetId="3">
        <row r="1">
          <cell r="B1" t="str">
            <v>Movie Count</v>
          </cell>
        </row>
        <row r="2">
          <cell r="A2" t="str">
            <v>Toshiya Shinohara</v>
          </cell>
          <cell r="B2">
            <v>3</v>
          </cell>
        </row>
        <row r="3">
          <cell r="A3" t="str">
            <v>Adam Salky</v>
          </cell>
          <cell r="B3">
            <v>1</v>
          </cell>
        </row>
        <row r="4">
          <cell r="A4" t="str">
            <v>Alex Woo, Stanley Moore</v>
          </cell>
          <cell r="B4">
            <v>1</v>
          </cell>
        </row>
        <row r="5">
          <cell r="A5" t="str">
            <v>Antoine Fuqua</v>
          </cell>
          <cell r="B5">
            <v>1</v>
          </cell>
        </row>
        <row r="6">
          <cell r="A6" t="str">
            <v>Ashwiny Iyer Tiwari, Abhishek Chaubey, Saket Chaudhary</v>
          </cell>
          <cell r="B6">
            <v>1</v>
          </cell>
        </row>
        <row r="7">
          <cell r="A7" t="str">
            <v>Bruno Garotti</v>
          </cell>
          <cell r="B7">
            <v>1</v>
          </cell>
        </row>
        <row r="8">
          <cell r="A8" t="str">
            <v>Christian Schwochow</v>
          </cell>
          <cell r="B8">
            <v>1</v>
          </cell>
        </row>
        <row r="9">
          <cell r="A9" t="str">
            <v>Cédric Jimenez</v>
          </cell>
          <cell r="B9">
            <v>1</v>
          </cell>
        </row>
        <row r="10">
          <cell r="A10" t="str">
            <v>Daniel Espinosa</v>
          </cell>
          <cell r="B10">
            <v>1</v>
          </cell>
        </row>
        <row r="11">
          <cell r="A11" t="str">
            <v>Daniel Sandu</v>
          </cell>
          <cell r="B11">
            <v>1</v>
          </cell>
        </row>
        <row r="12">
          <cell r="A12" t="str">
            <v>Dennis Dugan</v>
          </cell>
          <cell r="B12">
            <v>1</v>
          </cell>
        </row>
        <row r="13">
          <cell r="A13" t="str">
            <v>George Nolfi</v>
          </cell>
          <cell r="B13">
            <v>1</v>
          </cell>
        </row>
        <row r="14">
          <cell r="A14" t="str">
            <v>Haile Gerima</v>
          </cell>
          <cell r="B14">
            <v>1</v>
          </cell>
        </row>
        <row r="15">
          <cell r="A15" t="str">
            <v>Jeannot Szwarc</v>
          </cell>
          <cell r="B15">
            <v>1</v>
          </cell>
        </row>
        <row r="16">
          <cell r="A16" t="str">
            <v>Joe Alves</v>
          </cell>
          <cell r="B16">
            <v>1</v>
          </cell>
        </row>
        <row r="17">
          <cell r="A17" t="str">
            <v>Joseph Sargent</v>
          </cell>
          <cell r="B17">
            <v>1</v>
          </cell>
        </row>
        <row r="18">
          <cell r="A18" t="str">
            <v>K.S. Ravikumar</v>
          </cell>
          <cell r="B18">
            <v>1</v>
          </cell>
        </row>
        <row r="19">
          <cell r="A19" t="str">
            <v>Kirsten Johnson</v>
          </cell>
          <cell r="B19">
            <v>1</v>
          </cell>
        </row>
        <row r="20">
          <cell r="A20" t="str">
            <v>Pedro de Echave García, Pablo Azorín Williams</v>
          </cell>
          <cell r="B20">
            <v>1</v>
          </cell>
        </row>
        <row r="21">
          <cell r="A21" t="str">
            <v>Rajiv Menon</v>
          </cell>
          <cell r="B21">
            <v>1</v>
          </cell>
        </row>
        <row r="22">
          <cell r="A22" t="str">
            <v>Robert Cullen, José Luis Ucha</v>
          </cell>
          <cell r="B22">
            <v>1</v>
          </cell>
        </row>
        <row r="23">
          <cell r="A23" t="str">
            <v>Robert Luketic</v>
          </cell>
          <cell r="B23">
            <v>1</v>
          </cell>
        </row>
        <row r="24">
          <cell r="A24" t="str">
            <v>S. Shankar</v>
          </cell>
          <cell r="B24">
            <v>1</v>
          </cell>
        </row>
        <row r="25">
          <cell r="A25" t="str">
            <v>Scott Stewart</v>
          </cell>
          <cell r="B25">
            <v>1</v>
          </cell>
        </row>
        <row r="26">
          <cell r="A26" t="str">
            <v>Steven Spielberg</v>
          </cell>
          <cell r="B26">
            <v>1</v>
          </cell>
        </row>
        <row r="27">
          <cell r="A27" t="str">
            <v>Theodore Melfi</v>
          </cell>
          <cell r="B27">
            <v>1</v>
          </cell>
        </row>
        <row r="28">
          <cell r="A28" t="str">
            <v>Tyler Greco</v>
          </cell>
          <cell r="B2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ofessional Dashboard"/>
      <sheetName val="Data"/>
      <sheetName val="ChartData"/>
      <sheetName val="TopData"/>
      <sheetName val="ShareData"/>
      <sheetName val="TypeData"/>
    </sheetNames>
    <sheetDataSet>
      <sheetData sheetId="0"/>
      <sheetData sheetId="1"/>
      <sheetData sheetId="2">
        <row r="1">
          <cell r="B1" t="str">
            <v>Number of Directors</v>
          </cell>
        </row>
        <row r="2">
          <cell r="A2" t="str">
            <v>1 movie</v>
          </cell>
          <cell r="B2">
            <v>26</v>
          </cell>
        </row>
        <row r="3">
          <cell r="A3" t="str">
            <v>2 movies</v>
          </cell>
          <cell r="B3">
            <v>0</v>
          </cell>
        </row>
        <row r="4">
          <cell r="A4" t="str">
            <v>3 movies</v>
          </cell>
          <cell r="B4">
            <v>1</v>
          </cell>
        </row>
      </sheetData>
      <sheetData sheetId="3">
        <row r="1">
          <cell r="B1" t="str">
            <v>Movies</v>
          </cell>
        </row>
        <row r="2">
          <cell r="A2" t="str">
            <v>Toshiya Shinohara</v>
          </cell>
          <cell r="B2">
            <v>3</v>
          </cell>
        </row>
        <row r="3">
          <cell r="A3" t="str">
            <v>All other directors</v>
          </cell>
          <cell r="B3">
            <v>26</v>
          </cell>
        </row>
      </sheetData>
      <sheetData sheetId="4">
        <row r="1">
          <cell r="B1" t="str">
            <v>Movies</v>
          </cell>
        </row>
        <row r="2">
          <cell r="A2" t="str">
            <v>Toshiya Shinohara</v>
          </cell>
          <cell r="B2">
            <v>3</v>
          </cell>
        </row>
        <row r="3">
          <cell r="A3" t="str">
            <v>Other directors</v>
          </cell>
          <cell r="B3">
            <v>26</v>
          </cell>
        </row>
      </sheetData>
      <sheetData sheetId="5">
        <row r="1">
          <cell r="B1" t="str">
            <v>Directors</v>
          </cell>
        </row>
        <row r="2">
          <cell r="A2" t="str">
            <v>Single movie</v>
          </cell>
          <cell r="B2">
            <v>26</v>
          </cell>
        </row>
        <row r="3">
          <cell r="A3" t="str">
            <v>Multiple movies</v>
          </cell>
          <cell r="B3">
            <v>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j" refreshedDate="46287.916419907408" createdVersion="3" refreshedVersion="3" minRefreshableVersion="3" recordCount="29">
  <cacheSource type="worksheet">
    <worksheetSource ref="A1:E30" sheet="S1"/>
  </cacheSource>
  <cacheFields count="5">
    <cacheField name="show_id" numFmtId="0">
      <sharedItems count="29">
        <s v="s1"/>
        <s v="s7"/>
        <s v="s8"/>
        <s v="s10"/>
        <s v="s13"/>
        <s v="s14"/>
        <s v="s17"/>
        <s v="s19"/>
        <s v="s23"/>
        <s v="s24"/>
        <s v="s25"/>
        <s v="s27"/>
        <s v="s28"/>
        <s v="s29"/>
        <s v="s30"/>
        <s v="s31"/>
        <s v="s32"/>
        <s v="s33"/>
        <s v="s34"/>
        <s v="s35"/>
        <s v="s36"/>
        <s v="s37"/>
        <s v="s38"/>
        <s v="s39"/>
        <s v="s40"/>
        <s v="s41"/>
        <s v="s42"/>
        <s v="s43"/>
        <s v="s44"/>
      </sharedItems>
    </cacheField>
    <cacheField name="type" numFmtId="0">
      <sharedItems count="1">
        <s v="Movie"/>
      </sharedItems>
    </cacheField>
    <cacheField name="title" numFmtId="0">
      <sharedItems/>
    </cacheField>
    <cacheField name="director" numFmtId="0">
      <sharedItems count="27">
        <s v="Kirsten Johnson"/>
        <s v="Robert Cullen, José Luis Ucha"/>
        <s v="Haile Gerima"/>
        <s v="Theodore Melfi"/>
        <s v="Christian Schwochow"/>
        <s v="Bruno Garotti"/>
        <s v="Pedro de Echave García, Pablo Azorín Williams"/>
        <s v="Adam Salky"/>
        <s v="K.S. Ravikumar"/>
        <s v="Alex Woo, Stanley Moore"/>
        <s v="S. Shankar"/>
        <s v="Rajiv Menon"/>
        <s v="Dennis Dugan"/>
        <s v="Scott Stewart"/>
        <s v="Robert Luketic"/>
        <s v="Ashwiny Iyer Tiwari, Abhishek Chaubey, Saket Chaudhary"/>
        <s v="Daniel Sandu"/>
        <s v="Cédric Jimenez"/>
        <s v="George Nolfi"/>
        <s v="Steven Spielberg"/>
        <s v="Jeannot Szwarc"/>
        <s v="Joe Alves"/>
        <s v="Joseph Sargent"/>
        <s v="Tyler Greco"/>
        <s v="Daniel Espinosa"/>
        <s v="Antoine Fuqua"/>
        <s v="Toshiya Shinohara"/>
      </sharedItems>
    </cacheField>
    <cacheField name="cast" numFmtId="0">
      <sharedItems count="27">
        <s v="null"/>
        <s v="Vanessa Hudgens, Kimiko Glenn, James Marsden, Sofia Carson, Liza Koshy, Ken Jeong, Elizabeth Perkins, Jane Krakowski, Michael McKean, Phil LaMarr"/>
        <s v="Kofi Ghanaba, Oyafunmike Ogunlano, Alexandra Duah, Nick Medley, Mutabaruka, Afemo Omilami, Reggie Carter, Mzuri"/>
        <s v="Melissa McCarthy, Chris O'Dowd, Kevin Kline, Timothy Olyphant, Daveed Diggs, Skyler Gisondo, Laura Harrier, Rosalind Chao, Kimberly Quinn, Loretta Devine, Ravi Kapoor"/>
        <s v="Luna Wedler, Jannis Niewöhner, Milan Peschel, Edin Hasanović, Anna Fialová, Marlon Boess, Victor Boccard, Fleur Geffrier, Aziz Dyab, Mélanie Fouché, Elizaveta Maximová"/>
        <s v="Klara Castanho, Lucca Picon, Júlia Gomes, Marcus Bessa, Kiria Malheiros, Fernanda Concon, Gabriel Lima, Caio Cabral, Leonardo Cidade, Jade Cardozo"/>
        <s v="Freida Pinto, Logan Marshall-Green, Robert John Burke, Megan Elisabeth Kelly, Sarah Minnich, Hayes Hargrove, Mark Sivertsen, Brandon Fierro, Antonio Valles, Clint Obenchain"/>
        <s v="Kamal Hassan, Meena, Gemini Ganesan, Heera Rajgopal, Nassar, S.P. Balasubrahmanyam"/>
        <s v="Maisie Benson, Paul Killam, Kerry Gudjohnsen, AC Lim"/>
        <s v="Prashanth, Aishwarya Rai Bachchan, Sri Lakshmi, Nassar"/>
        <s v="Arvind Swamy, Kajol, Prabhu Deva, Nassar, S.P. Balasubrahmanyam, Girish Karnad"/>
        <s v="Adam Sandler, Kevin James, Chris Rock, David Spade, Rob Schneider, Salma Hayek, Maria Bello, Maya Rudolph, Colin Quinn, Tim Meadows, Joyce Van Patten"/>
        <s v="Keri Russell, Josh Hamilton, J.K. Simmons, Dakota Goyo, Kadan Rockett, L.J. Benet, Rich Hutchman, Myndy Crist, Annie Thurman, Jake Brennan"/>
        <s v="Liam Hemsworth, Gary Oldman, Amber Heard, Harrison Ford, Lucas Till, Embeth Davidtz, Julian McMahon, Josh Holloway, Richard Dreyfuss, Angela Sarafyan"/>
        <s v="Abhishek Banerjee, Rinku Rajguru, Delzad Hiwale, Kunal Kapoor, Zoya Hussain, Nikhil Dwivedi, Palomi Ghosh"/>
        <s v="Adrian Titieni, Elena Purea, Judith State, Valeriu Andriuță, Tudor Smoleanu, Virgil Aioanei, Radu Botar, Petronela Grigorescu, Bogdan Nechifor, Cristian Bota"/>
        <s v="Gilles Lellouche, Karim Leklou, François Civil, Adèle Exarchopoulos, Kenza Fortas, Cyril Lecomte, Michaël Abiteboul, Idir Azougli, Vincent Darmuzey, Jean-Yves Berteloot"/>
        <s v="Billy Magnussen, Ron Yuan, Qu Jingjing, Terry Chen, Vanness Wu, Jin Xing, Philip Ng, Xia Yu, Yu Xia"/>
        <s v="Roy Scheider, Robert Shaw, Richard Dreyfuss, Lorraine Gary, Murray Hamilton, Carl Gottlieb, Jeffrey Kramer, Susan Backlinie, Jonathan Filley, Ted Grossman"/>
        <s v="Roy Scheider, Lorraine Gary, Murray Hamilton, Joseph Mascolo, Jeffrey Kramer, Collin Wilcox Paxton, Ann Dusenberry, Mark Gruner, Barry Coe, Susan French"/>
        <s v="Dennis Quaid, Bess Armstrong, Simon MacCorkindale, Louis Gossett Jr., John Putch, Lea Thompson, P.H. Moriarty, Dan Blasko, Liz Morris, Lisa Maurer"/>
        <s v="Lorraine Gary, Lance Guest, Mario Van Peebles, Karen Young, Michael Caine, Judith Barsi, Mitchell Anderson, Lynn Whitfield"/>
        <s v="Denzel Washington, Ryan Reynolds, Vera Farmiga, Brendan Gleeson, Sam Shepard, Rubén Blades, Nora Arnezeder, Robert Patrick, Liam Cunningham, Joel Kinnaman"/>
        <s v="Denzel Washington, Ethan Hawke, Scott Glenn, Tom Berenger, Harris Yulin, Raymond J. Barry, Cliff Curtis, Dr. Dre, Snoop Dogg, Macy Gray, Eva Mendes"/>
        <s v="Kappei Yamaguchi, Satsuki Yukino, Mieko Harada, Koji Tsujitani, Houko Kuwashima, Kumiko Watanabe, Noriko Hidaka, Kenichi Ogata, Toshiyuki Morikawa, Izumi Ogami"/>
        <s v="Kappei Yamaguchi, Satsuki Yukino, Koji Tsujitani, Houko Kuwashima, Kumiko Watanabe, Ken Narita, Akio Otsuka, Kikuko Inoue"/>
        <s v="Kappei Yamaguchi, Satsuki Yukino, Koji Tsujitani, Houko Kuwashima, Kumiko Watanabe, Noriko Hidaka, Ken Narita, Cho, Mamiko Noto, Nobutoshi Cann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  <x v="0"/>
    <s v="Dick Johnson Is Dead"/>
    <x v="0"/>
    <x v="0"/>
  </r>
  <r>
    <x v="1"/>
    <x v="0"/>
    <s v="My Little Pony: A New Generation"/>
    <x v="1"/>
    <x v="1"/>
  </r>
  <r>
    <x v="2"/>
    <x v="0"/>
    <s v="Sankofa"/>
    <x v="2"/>
    <x v="2"/>
  </r>
  <r>
    <x v="3"/>
    <x v="0"/>
    <s v="The Starling"/>
    <x v="3"/>
    <x v="3"/>
  </r>
  <r>
    <x v="4"/>
    <x v="0"/>
    <s v="Je Suis Karl"/>
    <x v="4"/>
    <x v="4"/>
  </r>
  <r>
    <x v="5"/>
    <x v="0"/>
    <s v="Confessions of an Invisible Girl"/>
    <x v="5"/>
    <x v="5"/>
  </r>
  <r>
    <x v="6"/>
    <x v="0"/>
    <s v="Europe's Most Dangerous Man: Otto Skorzeny in Spain"/>
    <x v="6"/>
    <x v="0"/>
  </r>
  <r>
    <x v="7"/>
    <x v="0"/>
    <s v="Intrusion"/>
    <x v="7"/>
    <x v="6"/>
  </r>
  <r>
    <x v="8"/>
    <x v="0"/>
    <s v="Avvai Shanmughi"/>
    <x v="8"/>
    <x v="7"/>
  </r>
  <r>
    <x v="9"/>
    <x v="0"/>
    <s v="Go! Go! Cory Carson: Chrissy Takes the Wheel"/>
    <x v="9"/>
    <x v="8"/>
  </r>
  <r>
    <x v="10"/>
    <x v="0"/>
    <s v="Jeans"/>
    <x v="10"/>
    <x v="9"/>
  </r>
  <r>
    <x v="11"/>
    <x v="0"/>
    <s v="Minsara Kanavu"/>
    <x v="11"/>
    <x v="10"/>
  </r>
  <r>
    <x v="12"/>
    <x v="0"/>
    <s v="Grown Ups"/>
    <x v="12"/>
    <x v="11"/>
  </r>
  <r>
    <x v="13"/>
    <x v="0"/>
    <s v="Dark Skies"/>
    <x v="13"/>
    <x v="12"/>
  </r>
  <r>
    <x v="14"/>
    <x v="0"/>
    <s v="Paranoia"/>
    <x v="14"/>
    <x v="13"/>
  </r>
  <r>
    <x v="15"/>
    <x v="0"/>
    <s v="Ankahi Kahaniya"/>
    <x v="15"/>
    <x v="14"/>
  </r>
  <r>
    <x v="16"/>
    <x v="0"/>
    <s v="The Father Who Moves Mountains"/>
    <x v="16"/>
    <x v="15"/>
  </r>
  <r>
    <x v="17"/>
    <x v="0"/>
    <s v="The Stronghold"/>
    <x v="17"/>
    <x v="16"/>
  </r>
  <r>
    <x v="18"/>
    <x v="0"/>
    <s v="Birth of the Dragon"/>
    <x v="18"/>
    <x v="17"/>
  </r>
  <r>
    <x v="19"/>
    <x v="0"/>
    <s v="Jaws"/>
    <x v="19"/>
    <x v="18"/>
  </r>
  <r>
    <x v="20"/>
    <x v="0"/>
    <s v="Jaws 2"/>
    <x v="20"/>
    <x v="19"/>
  </r>
  <r>
    <x v="21"/>
    <x v="0"/>
    <s v="Jaws 3"/>
    <x v="21"/>
    <x v="20"/>
  </r>
  <r>
    <x v="22"/>
    <x v="0"/>
    <s v="Jaws: The Revenge"/>
    <x v="22"/>
    <x v="21"/>
  </r>
  <r>
    <x v="23"/>
    <x v="0"/>
    <s v="My Heroes Were Cowboys"/>
    <x v="23"/>
    <x v="0"/>
  </r>
  <r>
    <x v="24"/>
    <x v="0"/>
    <s v="Safe House"/>
    <x v="24"/>
    <x v="22"/>
  </r>
  <r>
    <x v="25"/>
    <x v="0"/>
    <s v="Training Day"/>
    <x v="25"/>
    <x v="23"/>
  </r>
  <r>
    <x v="26"/>
    <x v="0"/>
    <s v="InuYasha the Movie 2: The Castle Beyond the Looking Glass"/>
    <x v="26"/>
    <x v="24"/>
  </r>
  <r>
    <x v="27"/>
    <x v="0"/>
    <s v="InuYasha the Movie 3: Swords of an Honorable Ruler"/>
    <x v="26"/>
    <x v="25"/>
  </r>
  <r>
    <x v="28"/>
    <x v="0"/>
    <s v="InuYasha the Movie 4: Fire on the Mystic Island"/>
    <x v="26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4:AC7" firstHeaderRow="1" firstDataRow="2" firstDataCol="1" rowPageCount="1" colPageCount="1"/>
  <pivotFields count="5">
    <pivotField axis="axisPage" showAll="0">
      <items count="30"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1"/>
        <item x="2"/>
        <item t="default"/>
      </items>
    </pivotField>
    <pivotField axis="axisRow" showAll="0">
      <items count="2">
        <item x="0"/>
        <item t="default"/>
      </items>
    </pivotField>
    <pivotField showAll="0"/>
    <pivotField axis="axisCol" showAll="0">
      <items count="28">
        <item x="7"/>
        <item x="9"/>
        <item x="25"/>
        <item x="15"/>
        <item x="5"/>
        <item x="17"/>
        <item x="4"/>
        <item x="24"/>
        <item x="16"/>
        <item x="12"/>
        <item x="18"/>
        <item x="2"/>
        <item x="20"/>
        <item x="21"/>
        <item x="22"/>
        <item x="8"/>
        <item x="0"/>
        <item x="6"/>
        <item x="11"/>
        <item x="1"/>
        <item x="14"/>
        <item x="10"/>
        <item x="13"/>
        <item x="19"/>
        <item x="3"/>
        <item x="26"/>
        <item x="23"/>
        <item t="default"/>
      </items>
    </pivotField>
    <pivotField dataField="1" showAll="0">
      <items count="28">
        <item x="14"/>
        <item x="11"/>
        <item x="15"/>
        <item x="10"/>
        <item x="17"/>
        <item x="20"/>
        <item x="23"/>
        <item x="22"/>
        <item x="6"/>
        <item x="16"/>
        <item x="7"/>
        <item x="25"/>
        <item x="26"/>
        <item x="24"/>
        <item x="12"/>
        <item x="5"/>
        <item x="2"/>
        <item x="13"/>
        <item x="21"/>
        <item x="4"/>
        <item x="8"/>
        <item x="3"/>
        <item x="0"/>
        <item x="9"/>
        <item x="19"/>
        <item x="18"/>
        <item x="1"/>
        <item t="default"/>
      </items>
    </pivotField>
  </pivotFields>
  <rowFields count="1">
    <field x="1"/>
  </rowFields>
  <rowItems count="2">
    <i>
      <x/>
    </i>
    <i t="grand">
      <x/>
    </i>
  </rowItems>
  <colFields count="1">
    <field x="3"/>
  </colFields>
  <col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colItems>
  <pageFields count="1">
    <pageField fld="0" hier="-1"/>
  </pageFields>
  <dataFields count="1">
    <dataField name="Count of cast" fld="4" subtotal="count" baseField="0" baseItem="0"/>
  </dataFields>
  <chartFormats count="13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>
      <selection sqref="A1:U30"/>
    </sheetView>
  </sheetViews>
  <sheetFormatPr defaultRowHeight="15"/>
  <sheetData>
    <row r="1" spans="1:5">
      <c r="A1" t="s">
        <v>140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>
      <c r="A8" t="s">
        <v>30</v>
      </c>
      <c r="B8" t="s">
        <v>6</v>
      </c>
      <c r="C8" t="s">
        <v>31</v>
      </c>
      <c r="D8" t="s">
        <v>32</v>
      </c>
      <c r="E8" t="s">
        <v>9</v>
      </c>
    </row>
    <row r="9" spans="1:5">
      <c r="A9" t="s">
        <v>33</v>
      </c>
      <c r="B9" t="s">
        <v>6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 t="s">
        <v>6</v>
      </c>
      <c r="C10" t="s">
        <v>38</v>
      </c>
      <c r="D10" t="s">
        <v>39</v>
      </c>
      <c r="E10" t="s">
        <v>40</v>
      </c>
    </row>
    <row r="11" spans="1:5">
      <c r="A11" t="s">
        <v>41</v>
      </c>
      <c r="B11" t="s">
        <v>6</v>
      </c>
      <c r="C11" t="s">
        <v>42</v>
      </c>
      <c r="D11" t="s">
        <v>43</v>
      </c>
      <c r="E11" t="s">
        <v>44</v>
      </c>
    </row>
    <row r="12" spans="1:5">
      <c r="A12" t="s">
        <v>45</v>
      </c>
      <c r="B12" t="s">
        <v>6</v>
      </c>
      <c r="C12" t="s">
        <v>46</v>
      </c>
      <c r="D12" t="s">
        <v>47</v>
      </c>
      <c r="E12" t="s">
        <v>48</v>
      </c>
    </row>
    <row r="13" spans="1:5">
      <c r="A13" t="s">
        <v>49</v>
      </c>
      <c r="B13" t="s">
        <v>6</v>
      </c>
      <c r="C13" t="s">
        <v>50</v>
      </c>
      <c r="D13" t="s">
        <v>51</v>
      </c>
      <c r="E13" t="s">
        <v>52</v>
      </c>
    </row>
    <row r="14" spans="1:5">
      <c r="A14" t="s">
        <v>53</v>
      </c>
      <c r="B14" t="s">
        <v>6</v>
      </c>
      <c r="C14" t="s">
        <v>54</v>
      </c>
      <c r="D14" t="s">
        <v>55</v>
      </c>
      <c r="E14" t="s">
        <v>56</v>
      </c>
    </row>
    <row r="15" spans="1:5">
      <c r="A15" t="s">
        <v>57</v>
      </c>
      <c r="B15" t="s">
        <v>6</v>
      </c>
      <c r="C15" t="s">
        <v>58</v>
      </c>
      <c r="D15" t="s">
        <v>59</v>
      </c>
      <c r="E15" t="s">
        <v>60</v>
      </c>
    </row>
    <row r="16" spans="1:5">
      <c r="A16" t="s">
        <v>61</v>
      </c>
      <c r="B16" t="s">
        <v>6</v>
      </c>
      <c r="C16" t="s">
        <v>62</v>
      </c>
      <c r="D16" t="s">
        <v>63</v>
      </c>
      <c r="E16" t="s">
        <v>64</v>
      </c>
    </row>
    <row r="17" spans="1:5">
      <c r="A17" t="s">
        <v>65</v>
      </c>
      <c r="B17" t="s">
        <v>6</v>
      </c>
      <c r="C17" t="s">
        <v>66</v>
      </c>
      <c r="D17" t="s">
        <v>67</v>
      </c>
      <c r="E17" t="s">
        <v>68</v>
      </c>
    </row>
    <row r="18" spans="1:5">
      <c r="A18" t="s">
        <v>111</v>
      </c>
      <c r="B18" t="s">
        <v>6</v>
      </c>
      <c r="C18" t="s">
        <v>70</v>
      </c>
      <c r="D18" t="s">
        <v>71</v>
      </c>
      <c r="E18" t="s">
        <v>72</v>
      </c>
    </row>
    <row r="19" spans="1:5">
      <c r="A19" t="s">
        <v>112</v>
      </c>
      <c r="B19" t="s">
        <v>6</v>
      </c>
      <c r="C19" t="s">
        <v>74</v>
      </c>
      <c r="D19" t="s">
        <v>75</v>
      </c>
      <c r="E19" t="s">
        <v>76</v>
      </c>
    </row>
    <row r="20" spans="1:5">
      <c r="A20" t="s">
        <v>113</v>
      </c>
      <c r="B20" t="s">
        <v>6</v>
      </c>
      <c r="C20" t="s">
        <v>78</v>
      </c>
      <c r="D20" t="s">
        <v>79</v>
      </c>
      <c r="E20" t="s">
        <v>80</v>
      </c>
    </row>
    <row r="21" spans="1:5">
      <c r="A21" t="s">
        <v>114</v>
      </c>
      <c r="B21" t="s">
        <v>6</v>
      </c>
      <c r="C21" t="s">
        <v>82</v>
      </c>
      <c r="D21" t="s">
        <v>83</v>
      </c>
      <c r="E21" t="s">
        <v>84</v>
      </c>
    </row>
    <row r="22" spans="1:5">
      <c r="A22" t="s">
        <v>69</v>
      </c>
      <c r="B22" t="s">
        <v>6</v>
      </c>
      <c r="C22" t="s">
        <v>86</v>
      </c>
      <c r="D22" t="s">
        <v>87</v>
      </c>
      <c r="E22" t="s">
        <v>88</v>
      </c>
    </row>
    <row r="23" spans="1:5">
      <c r="A23" t="s">
        <v>73</v>
      </c>
      <c r="B23" t="s">
        <v>6</v>
      </c>
      <c r="C23" t="s">
        <v>90</v>
      </c>
      <c r="D23" t="s">
        <v>91</v>
      </c>
      <c r="E23" t="s">
        <v>92</v>
      </c>
    </row>
    <row r="24" spans="1:5">
      <c r="A24" t="s">
        <v>115</v>
      </c>
      <c r="B24" t="s">
        <v>6</v>
      </c>
      <c r="C24" t="s">
        <v>93</v>
      </c>
      <c r="D24" t="s">
        <v>94</v>
      </c>
      <c r="E24" t="s">
        <v>95</v>
      </c>
    </row>
    <row r="25" spans="1:5">
      <c r="A25" t="s">
        <v>77</v>
      </c>
      <c r="B25" t="s">
        <v>6</v>
      </c>
      <c r="C25" t="s">
        <v>96</v>
      </c>
      <c r="D25" t="s">
        <v>97</v>
      </c>
      <c r="E25" t="s">
        <v>9</v>
      </c>
    </row>
    <row r="26" spans="1:5">
      <c r="A26" t="s">
        <v>116</v>
      </c>
      <c r="B26" t="s">
        <v>6</v>
      </c>
      <c r="C26" t="s">
        <v>98</v>
      </c>
      <c r="D26" t="s">
        <v>99</v>
      </c>
      <c r="E26" t="s">
        <v>100</v>
      </c>
    </row>
    <row r="27" spans="1:5">
      <c r="A27" t="s">
        <v>117</v>
      </c>
      <c r="B27" t="s">
        <v>6</v>
      </c>
      <c r="C27" t="s">
        <v>101</v>
      </c>
      <c r="D27" t="s">
        <v>102</v>
      </c>
      <c r="E27" t="s">
        <v>103</v>
      </c>
    </row>
    <row r="28" spans="1:5">
      <c r="A28" t="s">
        <v>81</v>
      </c>
      <c r="B28" t="s">
        <v>6</v>
      </c>
      <c r="C28" t="s">
        <v>104</v>
      </c>
      <c r="D28" t="s">
        <v>105</v>
      </c>
      <c r="E28" t="s">
        <v>106</v>
      </c>
    </row>
    <row r="29" spans="1:5">
      <c r="A29" t="s">
        <v>85</v>
      </c>
      <c r="B29" t="s">
        <v>6</v>
      </c>
      <c r="C29" t="s">
        <v>107</v>
      </c>
      <c r="D29" t="s">
        <v>105</v>
      </c>
      <c r="E29" t="s">
        <v>108</v>
      </c>
    </row>
    <row r="30" spans="1:5">
      <c r="A30" t="s">
        <v>89</v>
      </c>
      <c r="B30" t="s">
        <v>6</v>
      </c>
      <c r="C30" t="s">
        <v>109</v>
      </c>
      <c r="D30" t="s">
        <v>105</v>
      </c>
      <c r="E30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C46"/>
  <sheetViews>
    <sheetView tabSelected="1" topLeftCell="C1" zoomScale="68" zoomScaleNormal="68" workbookViewId="0">
      <pane xSplit="6" ySplit="8" topLeftCell="I9" activePane="bottomRight" state="frozen"/>
      <selection activeCell="C1" sqref="C1"/>
      <selection pane="topRight" activeCell="I1" sqref="I1"/>
      <selection pane="bottomLeft" activeCell="C9" sqref="C9"/>
      <selection pane="bottomRight" activeCell="E5" sqref="E5"/>
    </sheetView>
  </sheetViews>
  <sheetFormatPr defaultRowHeight="15"/>
  <cols>
    <col min="1" max="1" width="13.140625" customWidth="1"/>
    <col min="2" max="2" width="16.28515625" customWidth="1"/>
    <col min="3" max="3" width="24.140625" customWidth="1"/>
    <col min="4" max="4" width="14.140625" customWidth="1"/>
    <col min="5" max="5" width="52.85546875" customWidth="1"/>
    <col min="6" max="6" width="13.140625" customWidth="1"/>
    <col min="7" max="7" width="14.42578125" customWidth="1"/>
    <col min="8" max="8" width="20" customWidth="1"/>
    <col min="9" max="9" width="15" customWidth="1"/>
    <col min="10" max="10" width="12.5703125" customWidth="1"/>
    <col min="11" max="11" width="13.28515625" customWidth="1"/>
    <col min="12" max="12" width="12.42578125" customWidth="1"/>
    <col min="13" max="13" width="12.5703125" customWidth="1"/>
    <col min="14" max="14" width="14.5703125" customWidth="1"/>
    <col min="15" max="15" width="9.28515625" customWidth="1"/>
    <col min="16" max="16" width="14.42578125" customWidth="1"/>
    <col min="17" max="17" width="14.140625" customWidth="1"/>
    <col min="18" max="18" width="15.140625" customWidth="1"/>
    <col min="19" max="19" width="43.140625" customWidth="1"/>
    <col min="20" max="20" width="12.140625" customWidth="1"/>
    <col min="21" max="21" width="27.28515625" customWidth="1"/>
    <col min="22" max="22" width="13.85546875" customWidth="1"/>
    <col min="23" max="23" width="10" customWidth="1"/>
    <col min="24" max="24" width="12.7109375" customWidth="1"/>
    <col min="25" max="25" width="16.140625" customWidth="1"/>
    <col min="26" max="26" width="15" customWidth="1"/>
    <col min="27" max="27" width="17.28515625" customWidth="1"/>
    <col min="28" max="28" width="11.140625" customWidth="1"/>
    <col min="29" max="29" width="11.28515625" customWidth="1"/>
    <col min="30" max="30" width="14.42578125" customWidth="1"/>
    <col min="31" max="31" width="16.5703125" customWidth="1"/>
    <col min="32" max="32" width="14.140625" customWidth="1"/>
    <col min="33" max="33" width="16.5703125" customWidth="1"/>
    <col min="34" max="34" width="15.140625" bestFit="1" customWidth="1"/>
    <col min="35" max="35" width="16.5703125" customWidth="1"/>
    <col min="36" max="36" width="43.140625" bestFit="1" customWidth="1"/>
    <col min="37" max="37" width="16.5703125" customWidth="1"/>
    <col min="38" max="38" width="12.42578125" customWidth="1"/>
    <col min="39" max="39" width="16.5703125" customWidth="1"/>
    <col min="40" max="40" width="27.28515625" customWidth="1"/>
    <col min="41" max="41" width="16.5703125" customWidth="1"/>
    <col min="42" max="42" width="13.85546875" customWidth="1"/>
    <col min="43" max="43" width="16.5703125" customWidth="1"/>
    <col min="44" max="44" width="12.42578125" customWidth="1"/>
    <col min="45" max="45" width="16.5703125" customWidth="1"/>
    <col min="46" max="46" width="12.7109375" customWidth="1"/>
    <col min="47" max="47" width="16.5703125" customWidth="1"/>
    <col min="48" max="48" width="16.140625" bestFit="1" customWidth="1"/>
    <col min="49" max="49" width="16.5703125" customWidth="1"/>
    <col min="50" max="50" width="15" customWidth="1"/>
    <col min="51" max="51" width="16.5703125" customWidth="1"/>
    <col min="52" max="52" width="17.28515625" bestFit="1" customWidth="1"/>
    <col min="53" max="53" width="16.5703125" customWidth="1"/>
    <col min="54" max="54" width="12.42578125" customWidth="1"/>
    <col min="55" max="55" width="16.5703125" customWidth="1"/>
    <col min="56" max="56" width="17.5703125" customWidth="1"/>
    <col min="57" max="57" width="21.7109375" customWidth="1"/>
    <col min="58" max="58" width="12.5703125" bestFit="1" customWidth="1"/>
    <col min="59" max="59" width="7.7109375" customWidth="1"/>
    <col min="60" max="60" width="11.28515625" customWidth="1"/>
    <col min="61" max="61" width="21.140625" bestFit="1" customWidth="1"/>
  </cols>
  <sheetData>
    <row r="2" spans="1:29">
      <c r="A2" s="1" t="s">
        <v>0</v>
      </c>
      <c r="B2" t="s">
        <v>121</v>
      </c>
    </row>
    <row r="4" spans="1:29">
      <c r="A4" s="1" t="s">
        <v>122</v>
      </c>
      <c r="B4" s="1" t="s">
        <v>120</v>
      </c>
    </row>
    <row r="5" spans="1:29">
      <c r="A5" s="1" t="s">
        <v>118</v>
      </c>
      <c r="B5" t="s">
        <v>35</v>
      </c>
      <c r="C5" t="s">
        <v>43</v>
      </c>
      <c r="D5" t="s">
        <v>102</v>
      </c>
      <c r="E5" t="s">
        <v>67</v>
      </c>
      <c r="F5" t="s">
        <v>28</v>
      </c>
      <c r="G5" t="s">
        <v>75</v>
      </c>
      <c r="H5" t="s">
        <v>24</v>
      </c>
      <c r="I5" t="s">
        <v>99</v>
      </c>
      <c r="J5" t="s">
        <v>71</v>
      </c>
      <c r="K5" t="s">
        <v>55</v>
      </c>
      <c r="L5" t="s">
        <v>79</v>
      </c>
      <c r="M5" t="s">
        <v>16</v>
      </c>
      <c r="N5" t="s">
        <v>87</v>
      </c>
      <c r="O5" t="s">
        <v>91</v>
      </c>
      <c r="P5" t="s">
        <v>94</v>
      </c>
      <c r="Q5" t="s">
        <v>39</v>
      </c>
      <c r="R5" t="s">
        <v>8</v>
      </c>
      <c r="S5" t="s">
        <v>32</v>
      </c>
      <c r="T5" t="s">
        <v>51</v>
      </c>
      <c r="U5" t="s">
        <v>12</v>
      </c>
      <c r="V5" t="s">
        <v>63</v>
      </c>
      <c r="W5" t="s">
        <v>47</v>
      </c>
      <c r="X5" t="s">
        <v>59</v>
      </c>
      <c r="Y5" t="s">
        <v>83</v>
      </c>
      <c r="Z5" t="s">
        <v>20</v>
      </c>
      <c r="AA5" t="s">
        <v>105</v>
      </c>
      <c r="AB5" t="s">
        <v>97</v>
      </c>
      <c r="AC5" t="s">
        <v>119</v>
      </c>
    </row>
    <row r="6" spans="1:29">
      <c r="A6" s="2" t="s">
        <v>6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3</v>
      </c>
      <c r="AB6" s="3">
        <v>1</v>
      </c>
      <c r="AC6" s="3">
        <v>29</v>
      </c>
    </row>
    <row r="7" spans="1:29">
      <c r="A7" s="2" t="s">
        <v>119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3</v>
      </c>
      <c r="AB7" s="3">
        <v>1</v>
      </c>
      <c r="AC7" s="3">
        <v>29</v>
      </c>
    </row>
    <row r="8" spans="1:29" ht="45.75" customHeight="1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25" spans="3:12" ht="15" customHeight="1">
      <c r="C25" s="4" t="s">
        <v>123</v>
      </c>
      <c r="D25" s="5"/>
      <c r="E25" s="4" t="s">
        <v>124</v>
      </c>
      <c r="F25" s="5"/>
      <c r="G25" s="6" t="s">
        <v>125</v>
      </c>
      <c r="H25" s="5"/>
      <c r="I25" s="4" t="s">
        <v>126</v>
      </c>
      <c r="J25" s="5"/>
      <c r="K25" s="4"/>
      <c r="L25" s="5"/>
    </row>
    <row r="26" spans="3:12"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3:12">
      <c r="C27" s="5"/>
      <c r="D27" s="5"/>
      <c r="E27" s="5"/>
      <c r="F27" s="5"/>
      <c r="G27" s="5"/>
      <c r="H27" s="5"/>
      <c r="I27" s="5"/>
      <c r="J27" s="5"/>
      <c r="K27" s="5"/>
      <c r="L27" s="5"/>
    </row>
    <row r="29" spans="3:12" ht="18.75">
      <c r="C29" s="8" t="s">
        <v>127</v>
      </c>
      <c r="D29" s="9"/>
      <c r="E29" s="9"/>
      <c r="F29" s="9"/>
      <c r="G29" s="9"/>
      <c r="H29" s="9"/>
      <c r="I29" s="9"/>
      <c r="J29" s="9"/>
    </row>
    <row r="30" spans="3:12">
      <c r="C30" s="10" t="s">
        <v>128</v>
      </c>
      <c r="D30" s="7"/>
      <c r="E30" s="11">
        <v>29</v>
      </c>
    </row>
    <row r="31" spans="3:12">
      <c r="C31" s="10" t="s">
        <v>129</v>
      </c>
      <c r="D31" s="7"/>
      <c r="E31" s="11">
        <v>27</v>
      </c>
    </row>
    <row r="32" spans="3:12">
      <c r="C32" s="10" t="s">
        <v>130</v>
      </c>
      <c r="D32" s="7"/>
      <c r="E32" s="11">
        <v>26</v>
      </c>
    </row>
    <row r="33" spans="3:11">
      <c r="C33" s="10" t="s">
        <v>131</v>
      </c>
      <c r="D33" s="7"/>
      <c r="E33" s="11" t="s">
        <v>105</v>
      </c>
    </row>
    <row r="35" spans="3:11" ht="17.25">
      <c r="C35" s="12" t="s">
        <v>132</v>
      </c>
      <c r="D35" s="9"/>
      <c r="E35" s="9"/>
      <c r="F35" s="9"/>
      <c r="G35" s="9"/>
      <c r="H35" s="9"/>
      <c r="I35" s="9"/>
      <c r="J35" s="9"/>
      <c r="K35" s="9"/>
    </row>
    <row r="36" spans="3:11">
      <c r="C36" s="13" t="s">
        <v>133</v>
      </c>
      <c r="D36" s="9"/>
      <c r="E36" s="9"/>
      <c r="F36" s="9"/>
      <c r="G36" s="9"/>
      <c r="H36" s="9"/>
      <c r="I36" s="9"/>
      <c r="J36" s="9"/>
      <c r="K36" s="9"/>
    </row>
    <row r="37" spans="3:11">
      <c r="C37" s="9"/>
      <c r="D37" s="9"/>
      <c r="E37" s="9"/>
      <c r="F37" s="9"/>
      <c r="G37" s="9"/>
      <c r="H37" s="9"/>
      <c r="I37" s="9"/>
      <c r="J37" s="9"/>
      <c r="K37" s="9"/>
    </row>
    <row r="38" spans="3:11">
      <c r="C38" s="9"/>
      <c r="D38" s="9"/>
      <c r="E38" s="9"/>
      <c r="F38" s="9"/>
      <c r="G38" s="9"/>
      <c r="H38" s="9"/>
      <c r="I38" s="9"/>
      <c r="J38" s="9"/>
      <c r="K38" s="9"/>
    </row>
    <row r="43" spans="3:11" ht="17.25">
      <c r="C43" s="12"/>
      <c r="D43" s="9"/>
      <c r="E43" s="9"/>
      <c r="F43" s="9"/>
      <c r="G43" s="9"/>
      <c r="H43" s="9"/>
      <c r="I43" s="9"/>
      <c r="J43" s="9"/>
      <c r="K43" s="9"/>
    </row>
    <row r="44" spans="3:11">
      <c r="C44" s="13"/>
      <c r="D44" s="9"/>
      <c r="E44" s="9"/>
      <c r="F44" s="9"/>
      <c r="G44" s="9"/>
      <c r="H44" s="9"/>
      <c r="I44" s="9"/>
      <c r="J44" s="9"/>
      <c r="K44" s="9"/>
    </row>
    <row r="45" spans="3:11">
      <c r="C45" s="9"/>
      <c r="D45" s="9"/>
      <c r="E45" s="9"/>
      <c r="F45" s="9"/>
      <c r="G45" s="9"/>
      <c r="H45" s="9"/>
      <c r="I45" s="9"/>
      <c r="J45" s="9"/>
      <c r="K45" s="9"/>
    </row>
    <row r="46" spans="3:11">
      <c r="C46" s="9"/>
      <c r="D46" s="9"/>
      <c r="E46" s="9"/>
      <c r="F46" s="9"/>
      <c r="G46" s="9"/>
      <c r="H46" s="9"/>
      <c r="I46" s="9"/>
      <c r="J46" s="9"/>
      <c r="K46" s="9"/>
    </row>
  </sheetData>
  <mergeCells count="11">
    <mergeCell ref="C43:K43"/>
    <mergeCell ref="C44:K46"/>
    <mergeCell ref="C35:K35"/>
    <mergeCell ref="C36:K38"/>
    <mergeCell ref="B8:AC8"/>
    <mergeCell ref="E25:F27"/>
    <mergeCell ref="G25:H27"/>
    <mergeCell ref="I25:J27"/>
    <mergeCell ref="K25:L27"/>
    <mergeCell ref="C25:D27"/>
    <mergeCell ref="C29:J29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>
      <selection activeCell="G18" sqref="G18"/>
    </sheetView>
  </sheetViews>
  <sheetFormatPr defaultRowHeight="15"/>
  <sheetData>
    <row r="1" spans="1:4">
      <c r="A1" s="14" t="s">
        <v>134</v>
      </c>
      <c r="B1" s="14" t="s">
        <v>135</v>
      </c>
      <c r="C1" s="14" t="s">
        <v>136</v>
      </c>
      <c r="D1" s="14" t="s">
        <v>137</v>
      </c>
    </row>
    <row r="2" spans="1:4">
      <c r="A2" t="s">
        <v>105</v>
      </c>
      <c r="B2">
        <v>3</v>
      </c>
      <c r="C2" s="15">
        <v>0.10344827586206901</v>
      </c>
      <c r="D2" t="s">
        <v>138</v>
      </c>
    </row>
    <row r="3" spans="1:4">
      <c r="A3" t="s">
        <v>35</v>
      </c>
      <c r="B3">
        <v>1</v>
      </c>
      <c r="C3" s="15">
        <v>3.4482758620689648E-2</v>
      </c>
      <c r="D3" t="s">
        <v>139</v>
      </c>
    </row>
    <row r="4" spans="1:4">
      <c r="A4" t="s">
        <v>43</v>
      </c>
      <c r="B4">
        <v>1</v>
      </c>
      <c r="C4" s="15">
        <v>3.4482758620689648E-2</v>
      </c>
      <c r="D4" t="s">
        <v>139</v>
      </c>
    </row>
    <row r="5" spans="1:4">
      <c r="A5" t="s">
        <v>102</v>
      </c>
      <c r="B5">
        <v>1</v>
      </c>
      <c r="C5" s="15">
        <v>3.4482758620689648E-2</v>
      </c>
      <c r="D5" t="s">
        <v>139</v>
      </c>
    </row>
    <row r="6" spans="1:4">
      <c r="A6" t="s">
        <v>67</v>
      </c>
      <c r="B6">
        <v>1</v>
      </c>
      <c r="C6" s="15">
        <v>3.4482758620689648E-2</v>
      </c>
      <c r="D6" t="s">
        <v>139</v>
      </c>
    </row>
    <row r="7" spans="1:4">
      <c r="A7" t="s">
        <v>28</v>
      </c>
      <c r="B7">
        <v>1</v>
      </c>
      <c r="C7" s="15">
        <v>3.4482758620689648E-2</v>
      </c>
      <c r="D7" t="s">
        <v>139</v>
      </c>
    </row>
    <row r="8" spans="1:4">
      <c r="A8" t="s">
        <v>24</v>
      </c>
      <c r="B8">
        <v>1</v>
      </c>
      <c r="C8" s="15">
        <v>3.4482758620689648E-2</v>
      </c>
      <c r="D8" t="s">
        <v>139</v>
      </c>
    </row>
    <row r="9" spans="1:4">
      <c r="A9" t="s">
        <v>75</v>
      </c>
      <c r="B9">
        <v>1</v>
      </c>
      <c r="C9" s="15">
        <v>3.4482758620689648E-2</v>
      </c>
      <c r="D9" t="s">
        <v>139</v>
      </c>
    </row>
    <row r="10" spans="1:4">
      <c r="A10" t="s">
        <v>99</v>
      </c>
      <c r="B10">
        <v>1</v>
      </c>
      <c r="C10" s="15">
        <v>3.4482758620689648E-2</v>
      </c>
      <c r="D10" t="s">
        <v>139</v>
      </c>
    </row>
    <row r="11" spans="1:4">
      <c r="A11" t="s">
        <v>71</v>
      </c>
      <c r="B11">
        <v>1</v>
      </c>
      <c r="C11" s="15">
        <v>3.4482758620689648E-2</v>
      </c>
      <c r="D11" t="s">
        <v>139</v>
      </c>
    </row>
    <row r="12" spans="1:4">
      <c r="A12" t="s">
        <v>55</v>
      </c>
      <c r="B12">
        <v>1</v>
      </c>
      <c r="C12" s="15">
        <v>3.4482758620689648E-2</v>
      </c>
      <c r="D12" t="s">
        <v>139</v>
      </c>
    </row>
    <row r="13" spans="1:4">
      <c r="A13" t="s">
        <v>79</v>
      </c>
      <c r="B13">
        <v>1</v>
      </c>
      <c r="C13" s="15">
        <v>3.4482758620689648E-2</v>
      </c>
      <c r="D13" t="s">
        <v>139</v>
      </c>
    </row>
    <row r="14" spans="1:4">
      <c r="A14" t="s">
        <v>16</v>
      </c>
      <c r="B14">
        <v>1</v>
      </c>
      <c r="C14" s="15">
        <v>3.4482758620689648E-2</v>
      </c>
      <c r="D14" t="s">
        <v>139</v>
      </c>
    </row>
    <row r="15" spans="1:4">
      <c r="A15" t="s">
        <v>87</v>
      </c>
      <c r="B15">
        <v>1</v>
      </c>
      <c r="C15" s="15">
        <v>3.4482758620689648E-2</v>
      </c>
      <c r="D15" t="s">
        <v>139</v>
      </c>
    </row>
    <row r="16" spans="1:4">
      <c r="A16" t="s">
        <v>91</v>
      </c>
      <c r="B16">
        <v>1</v>
      </c>
      <c r="C16" s="15">
        <v>3.4482758620689648E-2</v>
      </c>
      <c r="D16" t="s">
        <v>139</v>
      </c>
    </row>
    <row r="17" spans="1:4">
      <c r="A17" t="s">
        <v>94</v>
      </c>
      <c r="B17">
        <v>1</v>
      </c>
      <c r="C17" s="15">
        <v>3.4482758620689648E-2</v>
      </c>
      <c r="D17" t="s">
        <v>139</v>
      </c>
    </row>
    <row r="18" spans="1:4">
      <c r="A18" t="s">
        <v>39</v>
      </c>
      <c r="B18">
        <v>1</v>
      </c>
      <c r="C18" s="15">
        <v>3.4482758620689648E-2</v>
      </c>
      <c r="D18" t="s">
        <v>139</v>
      </c>
    </row>
    <row r="19" spans="1:4">
      <c r="A19" t="s">
        <v>8</v>
      </c>
      <c r="B19">
        <v>1</v>
      </c>
      <c r="C19" s="15">
        <v>3.4482758620689648E-2</v>
      </c>
      <c r="D19" t="s">
        <v>139</v>
      </c>
    </row>
    <row r="20" spans="1:4">
      <c r="A20" t="s">
        <v>32</v>
      </c>
      <c r="B20">
        <v>1</v>
      </c>
      <c r="C20" s="15">
        <v>3.4482758620689648E-2</v>
      </c>
      <c r="D20" t="s">
        <v>139</v>
      </c>
    </row>
    <row r="21" spans="1:4">
      <c r="A21" t="s">
        <v>51</v>
      </c>
      <c r="B21">
        <v>1</v>
      </c>
      <c r="C21" s="15">
        <v>3.4482758620689648E-2</v>
      </c>
      <c r="D21" t="s">
        <v>139</v>
      </c>
    </row>
    <row r="22" spans="1:4">
      <c r="A22" t="s">
        <v>12</v>
      </c>
      <c r="B22">
        <v>1</v>
      </c>
      <c r="C22" s="15">
        <v>3.4482758620689648E-2</v>
      </c>
      <c r="D22" t="s">
        <v>139</v>
      </c>
    </row>
    <row r="23" spans="1:4">
      <c r="A23" t="s">
        <v>63</v>
      </c>
      <c r="B23">
        <v>1</v>
      </c>
      <c r="C23" s="15">
        <v>3.4482758620689648E-2</v>
      </c>
      <c r="D23" t="s">
        <v>139</v>
      </c>
    </row>
    <row r="24" spans="1:4">
      <c r="A24" t="s">
        <v>47</v>
      </c>
      <c r="B24">
        <v>1</v>
      </c>
      <c r="C24" s="15">
        <v>3.4482758620689648E-2</v>
      </c>
      <c r="D24" t="s">
        <v>139</v>
      </c>
    </row>
    <row r="25" spans="1:4">
      <c r="A25" t="s">
        <v>59</v>
      </c>
      <c r="B25">
        <v>1</v>
      </c>
      <c r="C25" s="15">
        <v>3.4482758620689648E-2</v>
      </c>
      <c r="D25" t="s">
        <v>139</v>
      </c>
    </row>
    <row r="26" spans="1:4">
      <c r="A26" t="s">
        <v>83</v>
      </c>
      <c r="B26">
        <v>1</v>
      </c>
      <c r="C26" s="15">
        <v>3.4482758620689648E-2</v>
      </c>
      <c r="D26" t="s">
        <v>139</v>
      </c>
    </row>
    <row r="27" spans="1:4">
      <c r="A27" t="s">
        <v>20</v>
      </c>
      <c r="B27">
        <v>1</v>
      </c>
      <c r="C27" s="15">
        <v>3.4482758620689648E-2</v>
      </c>
      <c r="D27" t="s">
        <v>139</v>
      </c>
    </row>
    <row r="28" spans="1:4">
      <c r="A28" t="s">
        <v>97</v>
      </c>
      <c r="B28">
        <v>1</v>
      </c>
      <c r="C28" s="15">
        <v>3.4482758620689648E-2</v>
      </c>
      <c r="D28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S1</vt:lpstr>
      <vt:lpstr>S2</vt:lpstr>
      <vt:lpstr>S3</vt:lpstr>
      <vt:lpstr>Sheet1</vt:lpstr>
      <vt:lpstr>Sheet4</vt:lpstr>
    </vt:vector>
  </TitlesOfParts>
  <Company>RC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Raj</cp:lastModifiedBy>
  <dcterms:created xsi:type="dcterms:W3CDTF">2026-09-21T15:41:29Z</dcterms:created>
  <dcterms:modified xsi:type="dcterms:W3CDTF">2026-09-22T17:37:15Z</dcterms:modified>
</cp:coreProperties>
</file>